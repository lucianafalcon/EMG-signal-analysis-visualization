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V3O0EArah6HrUC7afs8QSn/5rI+wZ+Q4KuRTbcD0AQY="/>
    </ext>
  </extLst>
</workbook>
</file>

<file path=xl/sharedStrings.xml><?xml version="1.0" encoding="utf-8"?>
<sst xmlns="http://schemas.openxmlformats.org/spreadsheetml/2006/main" count="1093" uniqueCount="26">
  <si>
    <t>sample_id</t>
  </si>
  <si>
    <t>muscle</t>
  </si>
  <si>
    <t>patient_age</t>
  </si>
  <si>
    <t>patient_sex</t>
  </si>
  <si>
    <t>time (seg)</t>
  </si>
  <si>
    <t>emg_raw</t>
  </si>
  <si>
    <t>emg_rect |emg_raw - 2048|</t>
  </si>
  <si>
    <t>emg_mean_window</t>
  </si>
  <si>
    <t>emg_std_window</t>
  </si>
  <si>
    <t>emg_voltage V=(ADC/4095)​×3.3</t>
  </si>
  <si>
    <t>state</t>
  </si>
  <si>
    <t>contraction %</t>
  </si>
  <si>
    <t>date</t>
  </si>
  <si>
    <t>bicep</t>
  </si>
  <si>
    <t>M</t>
  </si>
  <si>
    <t>rest</t>
  </si>
  <si>
    <t>low contraction</t>
  </si>
  <si>
    <t>contraction</t>
  </si>
  <si>
    <t>triceps</t>
  </si>
  <si>
    <t>quadriceps</t>
  </si>
  <si>
    <t>F</t>
  </si>
  <si>
    <t>flexores muñeca</t>
  </si>
  <si>
    <t>trapecio superior</t>
  </si>
  <si>
    <t>pectorales</t>
  </si>
  <si>
    <t>dorsales</t>
  </si>
  <si>
    <t>deltoides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</si>
</sst>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:ss"/>
    <numFmt numFmtId="165" formatCode="#,##0.000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4" xfId="0" applyFont="1" applyNumberFormat="1"/>
    <xf borderId="0" fillId="0" fontId="1" numFmtId="2" xfId="0" applyFont="1" applyNumberFormat="1"/>
    <xf borderId="0" fillId="0" fontId="1" numFmtId="10" xfId="0" applyFont="1" applyNumberFormat="1"/>
    <xf borderId="0" fillId="0" fontId="1" numFmtId="164" xfId="0" applyFont="1" applyNumberFormat="1"/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1" numFmtId="165" xfId="0" applyFont="1" applyNumberFormat="1"/>
    <xf borderId="0" fillId="0" fontId="3" numFmtId="1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3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0"/>
    <col customWidth="1" min="3" max="6" width="12.63"/>
    <col customWidth="1" min="7" max="7" width="22.25"/>
    <col customWidth="1" min="8" max="9" width="17.88"/>
    <col customWidth="1" min="10" max="10" width="24.75"/>
    <col customWidth="1" min="11" max="11" width="13.0"/>
    <col customWidth="1" min="12" max="12" width="13.25"/>
    <col customWidth="1" min="13" max="13" width="14.3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3">
        <v>1.0</v>
      </c>
      <c r="B2" s="1" t="s">
        <v>13</v>
      </c>
      <c r="C2" s="3">
        <v>20.0</v>
      </c>
      <c r="D2" s="3" t="s">
        <v>14</v>
      </c>
      <c r="E2" s="3">
        <v>1.0</v>
      </c>
      <c r="F2" s="1">
        <v>2045.0</v>
      </c>
      <c r="G2" s="4">
        <f t="shared" ref="G2:G361" si="1">abs(F2-2048)</f>
        <v>3</v>
      </c>
      <c r="H2" s="4">
        <f t="shared" ref="H2:H361" si="2">AVERAGE(G2:G6)</f>
        <v>5</v>
      </c>
      <c r="I2" s="5">
        <f t="shared" ref="I2:I361" si="3">STDEV(F2:F6)</f>
        <v>5.727128425</v>
      </c>
      <c r="J2" s="5">
        <f t="shared" ref="J2:J361" si="4">(F2/4095)*3.3</f>
        <v>1.647985348</v>
      </c>
      <c r="K2" s="1" t="s">
        <v>15</v>
      </c>
      <c r="L2" s="6">
        <f t="shared" ref="L2:L361" si="5">MAX(0, MIN(100, (G2-MIN($G$2:$G$16))/(MAX($G$2:$G$16)-MIN($G$2:$G$16))))</f>
        <v>0.00119047619</v>
      </c>
      <c r="M2" s="7">
        <v>46066.0</v>
      </c>
    </row>
    <row r="3" ht="15.75" customHeight="1">
      <c r="A3" s="3">
        <v>2.0</v>
      </c>
      <c r="B3" s="1" t="s">
        <v>13</v>
      </c>
      <c r="C3" s="3">
        <v>20.0</v>
      </c>
      <c r="D3" s="3" t="s">
        <v>14</v>
      </c>
      <c r="E3" s="3">
        <v>2.0</v>
      </c>
      <c r="F3" s="1">
        <v>2052.0</v>
      </c>
      <c r="G3" s="4">
        <f t="shared" si="1"/>
        <v>4</v>
      </c>
      <c r="H3" s="4">
        <f t="shared" si="2"/>
        <v>44.8</v>
      </c>
      <c r="I3" s="5">
        <f t="shared" si="3"/>
        <v>91.6340548</v>
      </c>
      <c r="J3" s="5">
        <f t="shared" si="4"/>
        <v>1.653626374</v>
      </c>
      <c r="K3" s="1" t="s">
        <v>15</v>
      </c>
      <c r="L3" s="6">
        <f t="shared" si="5"/>
        <v>0.002380952381</v>
      </c>
      <c r="M3" s="7">
        <v>46066.00001157408</v>
      </c>
    </row>
    <row r="4" ht="15.75" customHeight="1">
      <c r="A4" s="3">
        <v>3.0</v>
      </c>
      <c r="B4" s="1" t="s">
        <v>13</v>
      </c>
      <c r="C4" s="3">
        <v>20.0</v>
      </c>
      <c r="D4" s="3" t="s">
        <v>14</v>
      </c>
      <c r="E4" s="3">
        <v>3.0</v>
      </c>
      <c r="F4" s="1">
        <v>2038.0</v>
      </c>
      <c r="G4" s="4">
        <f t="shared" si="1"/>
        <v>10</v>
      </c>
      <c r="H4" s="4">
        <f t="shared" si="2"/>
        <v>83.6</v>
      </c>
      <c r="I4" s="5">
        <f t="shared" si="3"/>
        <v>141.5344481</v>
      </c>
      <c r="J4" s="5">
        <f t="shared" si="4"/>
        <v>1.642344322</v>
      </c>
      <c r="K4" s="1" t="s">
        <v>15</v>
      </c>
      <c r="L4" s="6">
        <f t="shared" si="5"/>
        <v>0.009523809524</v>
      </c>
      <c r="M4" s="7">
        <v>46066.000023148146</v>
      </c>
    </row>
    <row r="5" ht="15.75" customHeight="1">
      <c r="A5" s="3">
        <v>4.0</v>
      </c>
      <c r="B5" s="1" t="s">
        <v>13</v>
      </c>
      <c r="C5" s="3">
        <v>20.0</v>
      </c>
      <c r="D5" s="3" t="s">
        <v>14</v>
      </c>
      <c r="E5" s="3">
        <v>4.0</v>
      </c>
      <c r="F5" s="1">
        <v>2050.0</v>
      </c>
      <c r="G5" s="4">
        <f t="shared" si="1"/>
        <v>2</v>
      </c>
      <c r="H5" s="4">
        <f t="shared" si="2"/>
        <v>136</v>
      </c>
      <c r="I5" s="5">
        <f t="shared" si="3"/>
        <v>186.571166</v>
      </c>
      <c r="J5" s="5">
        <f t="shared" si="4"/>
        <v>1.652014652</v>
      </c>
      <c r="K5" s="1" t="s">
        <v>15</v>
      </c>
      <c r="L5" s="6">
        <f t="shared" si="5"/>
        <v>0</v>
      </c>
      <c r="M5" s="7">
        <v>46066.00003472222</v>
      </c>
    </row>
    <row r="6" ht="15.75" customHeight="1">
      <c r="A6" s="3">
        <v>5.0</v>
      </c>
      <c r="B6" s="1" t="s">
        <v>13</v>
      </c>
      <c r="C6" s="3">
        <v>20.0</v>
      </c>
      <c r="D6" s="3" t="s">
        <v>14</v>
      </c>
      <c r="E6" s="3">
        <v>5.0</v>
      </c>
      <c r="F6" s="1">
        <v>2042.0</v>
      </c>
      <c r="G6" s="4">
        <f t="shared" si="1"/>
        <v>6</v>
      </c>
      <c r="H6" s="4">
        <f t="shared" si="2"/>
        <v>189.2</v>
      </c>
      <c r="I6" s="5">
        <f t="shared" si="3"/>
        <v>237.6190228</v>
      </c>
      <c r="J6" s="5">
        <f t="shared" si="4"/>
        <v>1.645567766</v>
      </c>
      <c r="K6" s="1" t="s">
        <v>15</v>
      </c>
      <c r="L6" s="6">
        <f t="shared" si="5"/>
        <v>0.004761904762</v>
      </c>
      <c r="M6" s="7">
        <v>46066.0000462963</v>
      </c>
    </row>
    <row r="7" ht="15.75" customHeight="1">
      <c r="A7" s="3">
        <v>6.0</v>
      </c>
      <c r="B7" s="1" t="s">
        <v>13</v>
      </c>
      <c r="C7" s="3">
        <v>20.0</v>
      </c>
      <c r="D7" s="3" t="s">
        <v>14</v>
      </c>
      <c r="E7" s="3">
        <v>6.0</v>
      </c>
      <c r="F7" s="1">
        <v>2250.0</v>
      </c>
      <c r="G7" s="4">
        <f t="shared" si="1"/>
        <v>202</v>
      </c>
      <c r="H7" s="4">
        <f t="shared" si="2"/>
        <v>258.4</v>
      </c>
      <c r="I7" s="5">
        <f t="shared" si="3"/>
        <v>284.5171348</v>
      </c>
      <c r="J7" s="5">
        <f t="shared" si="4"/>
        <v>1.813186813</v>
      </c>
      <c r="K7" s="1" t="s">
        <v>16</v>
      </c>
      <c r="L7" s="6">
        <f t="shared" si="5"/>
        <v>0.2380952381</v>
      </c>
      <c r="M7" s="7">
        <v>46066.00005787037</v>
      </c>
    </row>
    <row r="8" ht="15.75" customHeight="1">
      <c r="A8" s="3">
        <v>7.0</v>
      </c>
      <c r="B8" s="1" t="s">
        <v>13</v>
      </c>
      <c r="C8" s="3">
        <v>20.0</v>
      </c>
      <c r="D8" s="3" t="s">
        <v>14</v>
      </c>
      <c r="E8" s="3">
        <v>7.0</v>
      </c>
      <c r="F8" s="1">
        <v>1850.0</v>
      </c>
      <c r="G8" s="4">
        <f t="shared" si="1"/>
        <v>198</v>
      </c>
      <c r="H8" s="4">
        <f t="shared" si="2"/>
        <v>332.4</v>
      </c>
      <c r="I8" s="5">
        <f t="shared" si="3"/>
        <v>363.8406244</v>
      </c>
      <c r="J8" s="5">
        <f t="shared" si="4"/>
        <v>1.490842491</v>
      </c>
      <c r="K8" s="1" t="s">
        <v>16</v>
      </c>
      <c r="L8" s="6">
        <f t="shared" si="5"/>
        <v>0.2333333333</v>
      </c>
      <c r="M8" s="7">
        <v>46066.000069444446</v>
      </c>
    </row>
    <row r="9" ht="15.75" customHeight="1">
      <c r="A9" s="3">
        <v>8.0</v>
      </c>
      <c r="B9" s="1" t="s">
        <v>13</v>
      </c>
      <c r="C9" s="3">
        <v>20.0</v>
      </c>
      <c r="D9" s="3" t="s">
        <v>14</v>
      </c>
      <c r="E9" s="3">
        <v>8.0</v>
      </c>
      <c r="F9" s="1">
        <v>2320.0</v>
      </c>
      <c r="G9" s="4">
        <f t="shared" si="1"/>
        <v>272</v>
      </c>
      <c r="H9" s="4">
        <f t="shared" si="2"/>
        <v>406.4</v>
      </c>
      <c r="I9" s="5">
        <f t="shared" si="3"/>
        <v>472.6520919</v>
      </c>
      <c r="J9" s="5">
        <f t="shared" si="4"/>
        <v>1.86959707</v>
      </c>
      <c r="K9" s="1" t="s">
        <v>16</v>
      </c>
      <c r="L9" s="6">
        <f t="shared" si="5"/>
        <v>0.3214285714</v>
      </c>
      <c r="M9" s="7">
        <v>46066.000081018516</v>
      </c>
    </row>
    <row r="10" ht="15.75" customHeight="1">
      <c r="A10" s="3">
        <v>9.0</v>
      </c>
      <c r="B10" s="1" t="s">
        <v>13</v>
      </c>
      <c r="C10" s="3">
        <v>20.0</v>
      </c>
      <c r="D10" s="3" t="s">
        <v>14</v>
      </c>
      <c r="E10" s="3">
        <v>9.0</v>
      </c>
      <c r="F10" s="1">
        <v>1780.0</v>
      </c>
      <c r="G10" s="4">
        <f t="shared" si="1"/>
        <v>268</v>
      </c>
      <c r="H10" s="4">
        <f t="shared" si="2"/>
        <v>492.4</v>
      </c>
      <c r="I10" s="5">
        <f t="shared" si="3"/>
        <v>550.799419</v>
      </c>
      <c r="J10" s="5">
        <f t="shared" si="4"/>
        <v>1.434432234</v>
      </c>
      <c r="K10" s="1" t="s">
        <v>16</v>
      </c>
      <c r="L10" s="6">
        <f t="shared" si="5"/>
        <v>0.3166666667</v>
      </c>
      <c r="M10" s="7">
        <v>46066.00009259259</v>
      </c>
    </row>
    <row r="11" ht="15.75" customHeight="1">
      <c r="A11" s="3">
        <v>10.0</v>
      </c>
      <c r="B11" s="1" t="s">
        <v>13</v>
      </c>
      <c r="C11" s="3">
        <v>20.0</v>
      </c>
      <c r="D11" s="3" t="s">
        <v>14</v>
      </c>
      <c r="E11" s="3">
        <v>10.0</v>
      </c>
      <c r="F11" s="1">
        <v>2400.0</v>
      </c>
      <c r="G11" s="4">
        <f t="shared" si="1"/>
        <v>352</v>
      </c>
      <c r="H11" s="4">
        <f t="shared" si="2"/>
        <v>584.4</v>
      </c>
      <c r="I11" s="5">
        <f t="shared" si="3"/>
        <v>666.0930866</v>
      </c>
      <c r="J11" s="5">
        <f t="shared" si="4"/>
        <v>1.934065934</v>
      </c>
      <c r="K11" s="1" t="s">
        <v>16</v>
      </c>
      <c r="L11" s="6">
        <f t="shared" si="5"/>
        <v>0.4166666667</v>
      </c>
      <c r="M11" s="7">
        <v>46066.00010416667</v>
      </c>
    </row>
    <row r="12" ht="15.75" customHeight="1">
      <c r="A12" s="3">
        <v>11.0</v>
      </c>
      <c r="B12" s="1" t="s">
        <v>13</v>
      </c>
      <c r="C12" s="3">
        <v>20.0</v>
      </c>
      <c r="D12" s="3" t="s">
        <v>14</v>
      </c>
      <c r="E12" s="3">
        <v>11.0</v>
      </c>
      <c r="F12" s="1">
        <v>2620.0</v>
      </c>
      <c r="G12" s="4">
        <f t="shared" si="1"/>
        <v>572</v>
      </c>
      <c r="H12" s="4">
        <f t="shared" si="2"/>
        <v>682.4</v>
      </c>
      <c r="I12" s="5">
        <f t="shared" si="3"/>
        <v>749.5131753</v>
      </c>
      <c r="J12" s="5">
        <f t="shared" si="4"/>
        <v>2.111355311</v>
      </c>
      <c r="K12" s="1" t="s">
        <v>17</v>
      </c>
      <c r="L12" s="6">
        <f t="shared" si="5"/>
        <v>0.6785714286</v>
      </c>
      <c r="M12" s="7">
        <v>46066.00011574074</v>
      </c>
    </row>
    <row r="13" ht="15.75" customHeight="1">
      <c r="A13" s="3">
        <v>12.0</v>
      </c>
      <c r="B13" s="1" t="s">
        <v>13</v>
      </c>
      <c r="C13" s="3">
        <v>20.0</v>
      </c>
      <c r="D13" s="3" t="s">
        <v>14</v>
      </c>
      <c r="E13" s="3">
        <v>12.0</v>
      </c>
      <c r="F13" s="1">
        <v>1480.0</v>
      </c>
      <c r="G13" s="4">
        <f t="shared" si="1"/>
        <v>568</v>
      </c>
      <c r="H13" s="4">
        <f t="shared" si="2"/>
        <v>568.6</v>
      </c>
      <c r="I13" s="5">
        <f t="shared" si="3"/>
        <v>714.5593047</v>
      </c>
      <c r="J13" s="5">
        <f t="shared" si="4"/>
        <v>1.192673993</v>
      </c>
      <c r="K13" s="1" t="s">
        <v>17</v>
      </c>
      <c r="L13" s="6">
        <f t="shared" si="5"/>
        <v>0.6738095238</v>
      </c>
      <c r="M13" s="7">
        <v>46066.000127314815</v>
      </c>
    </row>
    <row r="14" ht="15.75" customHeight="1">
      <c r="A14" s="3">
        <v>13.0</v>
      </c>
      <c r="B14" s="1" t="s">
        <v>13</v>
      </c>
      <c r="C14" s="3">
        <v>20.0</v>
      </c>
      <c r="D14" s="3" t="s">
        <v>14</v>
      </c>
      <c r="E14" s="3">
        <v>13.0</v>
      </c>
      <c r="F14" s="1">
        <v>2750.0</v>
      </c>
      <c r="G14" s="4">
        <f t="shared" si="1"/>
        <v>702</v>
      </c>
      <c r="H14" s="4">
        <f t="shared" si="2"/>
        <v>455.4</v>
      </c>
      <c r="I14" s="5">
        <f t="shared" si="3"/>
        <v>632.2420423</v>
      </c>
      <c r="J14" s="5">
        <f t="shared" si="4"/>
        <v>2.216117216</v>
      </c>
      <c r="K14" s="1" t="s">
        <v>17</v>
      </c>
      <c r="L14" s="6">
        <f t="shared" si="5"/>
        <v>0.8333333333</v>
      </c>
      <c r="M14" s="7">
        <v>46066.00013888889</v>
      </c>
    </row>
    <row r="15" ht="15.75" customHeight="1">
      <c r="A15" s="3">
        <v>14.0</v>
      </c>
      <c r="B15" s="1" t="s">
        <v>13</v>
      </c>
      <c r="C15" s="3">
        <v>20.0</v>
      </c>
      <c r="D15" s="3" t="s">
        <v>14</v>
      </c>
      <c r="E15" s="3">
        <v>14.0</v>
      </c>
      <c r="F15" s="1">
        <v>1320.0</v>
      </c>
      <c r="G15" s="4">
        <f t="shared" si="1"/>
        <v>728</v>
      </c>
      <c r="H15" s="4">
        <f t="shared" si="2"/>
        <v>317</v>
      </c>
      <c r="I15" s="5">
        <f t="shared" si="3"/>
        <v>556.0888418</v>
      </c>
      <c r="J15" s="5">
        <f t="shared" si="4"/>
        <v>1.063736264</v>
      </c>
      <c r="K15" s="1" t="s">
        <v>17</v>
      </c>
      <c r="L15" s="6">
        <f t="shared" si="5"/>
        <v>0.8642857143</v>
      </c>
      <c r="M15" s="7">
        <v>46066.00015046296</v>
      </c>
    </row>
    <row r="16" ht="15.75" customHeight="1">
      <c r="A16" s="3">
        <v>15.0</v>
      </c>
      <c r="B16" s="1" t="s">
        <v>13</v>
      </c>
      <c r="C16" s="3">
        <v>20.0</v>
      </c>
      <c r="D16" s="3" t="s">
        <v>14</v>
      </c>
      <c r="E16" s="3">
        <v>15.0</v>
      </c>
      <c r="F16" s="1">
        <v>2890.0</v>
      </c>
      <c r="G16" s="4">
        <f t="shared" si="1"/>
        <v>842</v>
      </c>
      <c r="H16" s="4">
        <f t="shared" si="2"/>
        <v>172.6</v>
      </c>
      <c r="I16" s="5">
        <f t="shared" si="3"/>
        <v>378.4798542</v>
      </c>
      <c r="J16" s="5">
        <f t="shared" si="4"/>
        <v>2.328937729</v>
      </c>
      <c r="K16" s="1" t="s">
        <v>17</v>
      </c>
      <c r="L16" s="6">
        <f t="shared" si="5"/>
        <v>1</v>
      </c>
      <c r="M16" s="7">
        <v>46066.00016203704</v>
      </c>
    </row>
    <row r="17" ht="15.75" customHeight="1">
      <c r="A17" s="8">
        <v>1.0</v>
      </c>
      <c r="B17" s="9" t="s">
        <v>18</v>
      </c>
      <c r="C17" s="10">
        <v>27.0</v>
      </c>
      <c r="D17" s="3" t="s">
        <v>14</v>
      </c>
      <c r="E17" s="8">
        <v>1.0</v>
      </c>
      <c r="F17" s="11">
        <v>2045.0</v>
      </c>
      <c r="G17" s="4">
        <f t="shared" si="1"/>
        <v>3</v>
      </c>
      <c r="H17" s="4">
        <f t="shared" si="2"/>
        <v>4.2</v>
      </c>
      <c r="I17" s="5">
        <f t="shared" si="3"/>
        <v>4.774934555</v>
      </c>
      <c r="J17" s="5">
        <f t="shared" si="4"/>
        <v>1.647985348</v>
      </c>
      <c r="K17" s="1" t="s">
        <v>15</v>
      </c>
      <c r="L17" s="6">
        <f t="shared" si="5"/>
        <v>0.00119047619</v>
      </c>
      <c r="M17" s="7">
        <v>46037.04167824074</v>
      </c>
    </row>
    <row r="18" ht="15.75" customHeight="1">
      <c r="A18" s="8">
        <v>2.0</v>
      </c>
      <c r="B18" s="12" t="s">
        <v>18</v>
      </c>
      <c r="C18" s="10">
        <v>27.0</v>
      </c>
      <c r="D18" s="3" t="s">
        <v>14</v>
      </c>
      <c r="E18" s="8">
        <v>2.0</v>
      </c>
      <c r="F18" s="11">
        <v>2050.0</v>
      </c>
      <c r="G18" s="4">
        <f t="shared" si="1"/>
        <v>2</v>
      </c>
      <c r="H18" s="4">
        <f t="shared" si="2"/>
        <v>34</v>
      </c>
      <c r="I18" s="5">
        <f t="shared" si="3"/>
        <v>69.70509307</v>
      </c>
      <c r="J18" s="5">
        <f t="shared" si="4"/>
        <v>1.652014652</v>
      </c>
      <c r="K18" s="1" t="s">
        <v>15</v>
      </c>
      <c r="L18" s="6">
        <f t="shared" si="5"/>
        <v>0</v>
      </c>
      <c r="M18" s="7">
        <v>46037.04168981482</v>
      </c>
    </row>
    <row r="19" ht="15.75" customHeight="1">
      <c r="A19" s="8">
        <v>3.0</v>
      </c>
      <c r="B19" s="9" t="s">
        <v>18</v>
      </c>
      <c r="C19" s="10">
        <v>27.0</v>
      </c>
      <c r="D19" s="3" t="s">
        <v>14</v>
      </c>
      <c r="E19" s="8">
        <v>3.0</v>
      </c>
      <c r="F19" s="11">
        <v>2038.0</v>
      </c>
      <c r="G19" s="4">
        <f t="shared" si="1"/>
        <v>10</v>
      </c>
      <c r="H19" s="4">
        <f t="shared" si="2"/>
        <v>74</v>
      </c>
      <c r="I19" s="5">
        <f t="shared" si="3"/>
        <v>101.4830035</v>
      </c>
      <c r="J19" s="5">
        <f t="shared" si="4"/>
        <v>1.642344322</v>
      </c>
      <c r="K19" s="1" t="s">
        <v>15</v>
      </c>
      <c r="L19" s="6">
        <f t="shared" si="5"/>
        <v>0.009523809524</v>
      </c>
      <c r="M19" s="7">
        <v>46037.04170138889</v>
      </c>
    </row>
    <row r="20" ht="15.75" customHeight="1">
      <c r="A20" s="8">
        <v>4.0</v>
      </c>
      <c r="B20" s="12" t="s">
        <v>18</v>
      </c>
      <c r="C20" s="10">
        <v>27.0</v>
      </c>
      <c r="D20" s="3" t="s">
        <v>14</v>
      </c>
      <c r="E20" s="8">
        <v>4.0</v>
      </c>
      <c r="F20" s="11">
        <v>2042.0</v>
      </c>
      <c r="G20" s="4">
        <f t="shared" si="1"/>
        <v>6</v>
      </c>
      <c r="H20" s="4">
        <f t="shared" si="2"/>
        <v>122.4</v>
      </c>
      <c r="I20" s="5">
        <f t="shared" si="3"/>
        <v>117.736995</v>
      </c>
      <c r="J20" s="5">
        <f t="shared" si="4"/>
        <v>1.645567766</v>
      </c>
      <c r="K20" s="1" t="s">
        <v>15</v>
      </c>
      <c r="L20" s="6">
        <f t="shared" si="5"/>
        <v>0.004761904762</v>
      </c>
      <c r="M20" s="7">
        <v>46037.041712962964</v>
      </c>
    </row>
    <row r="21" ht="15.75" customHeight="1">
      <c r="A21" s="8">
        <v>5.0</v>
      </c>
      <c r="B21" s="9" t="s">
        <v>18</v>
      </c>
      <c r="C21" s="10">
        <v>27.0</v>
      </c>
      <c r="D21" s="3" t="s">
        <v>14</v>
      </c>
      <c r="E21" s="8">
        <v>5.0</v>
      </c>
      <c r="F21" s="11">
        <v>2048.0</v>
      </c>
      <c r="G21" s="4">
        <f t="shared" si="1"/>
        <v>0</v>
      </c>
      <c r="H21" s="4">
        <f t="shared" si="2"/>
        <v>181.6</v>
      </c>
      <c r="I21" s="5">
        <f t="shared" si="3"/>
        <v>115.8913284</v>
      </c>
      <c r="J21" s="5">
        <f t="shared" si="4"/>
        <v>1.65040293</v>
      </c>
      <c r="K21" s="1" t="s">
        <v>15</v>
      </c>
      <c r="L21" s="6">
        <f t="shared" si="5"/>
        <v>0</v>
      </c>
      <c r="M21" s="7">
        <v>46037.04172453703</v>
      </c>
    </row>
    <row r="22" ht="15.75" customHeight="1">
      <c r="A22" s="8">
        <v>6.0</v>
      </c>
      <c r="B22" s="12" t="s">
        <v>18</v>
      </c>
      <c r="C22" s="10">
        <v>27.0</v>
      </c>
      <c r="D22" s="3" t="s">
        <v>14</v>
      </c>
      <c r="E22" s="8">
        <v>6.0</v>
      </c>
      <c r="F22" s="11">
        <v>2200.0</v>
      </c>
      <c r="G22" s="4">
        <f t="shared" si="1"/>
        <v>152</v>
      </c>
      <c r="H22" s="4">
        <f t="shared" si="2"/>
        <v>252</v>
      </c>
      <c r="I22" s="5">
        <f t="shared" si="3"/>
        <v>79.0569415</v>
      </c>
      <c r="J22" s="5">
        <f t="shared" si="4"/>
        <v>1.772893773</v>
      </c>
      <c r="K22" s="1" t="s">
        <v>16</v>
      </c>
      <c r="L22" s="6">
        <f t="shared" si="5"/>
        <v>0.1785714286</v>
      </c>
      <c r="M22" s="7">
        <v>46037.04173611111</v>
      </c>
    </row>
    <row r="23" ht="15.75" customHeight="1">
      <c r="A23" s="8">
        <v>7.0</v>
      </c>
      <c r="B23" s="9" t="s">
        <v>18</v>
      </c>
      <c r="C23" s="10">
        <v>27.0</v>
      </c>
      <c r="D23" s="3" t="s">
        <v>14</v>
      </c>
      <c r="E23" s="8">
        <v>7.0</v>
      </c>
      <c r="F23" s="11">
        <v>2250.0</v>
      </c>
      <c r="G23" s="4">
        <f t="shared" si="1"/>
        <v>202</v>
      </c>
      <c r="H23" s="4">
        <f t="shared" si="2"/>
        <v>332</v>
      </c>
      <c r="I23" s="5">
        <f t="shared" si="3"/>
        <v>135.0925609</v>
      </c>
      <c r="J23" s="5">
        <f t="shared" si="4"/>
        <v>1.813186813</v>
      </c>
      <c r="K23" s="1" t="s">
        <v>16</v>
      </c>
      <c r="L23" s="6">
        <f t="shared" si="5"/>
        <v>0.2380952381</v>
      </c>
      <c r="M23" s="7">
        <v>46037.04174768519</v>
      </c>
    </row>
    <row r="24" ht="15.75" customHeight="1">
      <c r="A24" s="8">
        <v>8.0</v>
      </c>
      <c r="B24" s="12" t="s">
        <v>18</v>
      </c>
      <c r="C24" s="10">
        <v>27.0</v>
      </c>
      <c r="D24" s="3" t="s">
        <v>14</v>
      </c>
      <c r="E24" s="8">
        <v>8.0</v>
      </c>
      <c r="F24" s="11">
        <v>2300.0</v>
      </c>
      <c r="G24" s="4">
        <f t="shared" si="1"/>
        <v>252</v>
      </c>
      <c r="H24" s="4">
        <f t="shared" si="2"/>
        <v>422</v>
      </c>
      <c r="I24" s="5">
        <f t="shared" si="3"/>
        <v>171.7556404</v>
      </c>
      <c r="J24" s="5">
        <f t="shared" si="4"/>
        <v>1.853479853</v>
      </c>
      <c r="K24" s="1" t="s">
        <v>16</v>
      </c>
      <c r="L24" s="6">
        <f t="shared" si="5"/>
        <v>0.2976190476</v>
      </c>
      <c r="M24" s="7">
        <v>46037.04175925926</v>
      </c>
    </row>
    <row r="25" ht="15.75" customHeight="1">
      <c r="A25" s="8">
        <v>9.0</v>
      </c>
      <c r="B25" s="9" t="s">
        <v>18</v>
      </c>
      <c r="C25" s="10">
        <v>27.0</v>
      </c>
      <c r="D25" s="3" t="s">
        <v>14</v>
      </c>
      <c r="E25" s="8">
        <v>9.0</v>
      </c>
      <c r="F25" s="11">
        <v>2350.0</v>
      </c>
      <c r="G25" s="4">
        <f t="shared" si="1"/>
        <v>302</v>
      </c>
      <c r="H25" s="4">
        <f t="shared" si="2"/>
        <v>512</v>
      </c>
      <c r="I25" s="5">
        <f t="shared" si="3"/>
        <v>178.1852968</v>
      </c>
      <c r="J25" s="5">
        <f t="shared" si="4"/>
        <v>1.893772894</v>
      </c>
      <c r="K25" s="1" t="s">
        <v>16</v>
      </c>
      <c r="L25" s="6">
        <f t="shared" si="5"/>
        <v>0.3571428571</v>
      </c>
      <c r="M25" s="7">
        <v>46037.04177083333</v>
      </c>
    </row>
    <row r="26" ht="15.75" customHeight="1">
      <c r="A26" s="8">
        <v>10.0</v>
      </c>
      <c r="B26" s="12" t="s">
        <v>18</v>
      </c>
      <c r="C26" s="10">
        <v>27.0</v>
      </c>
      <c r="D26" s="3" t="s">
        <v>14</v>
      </c>
      <c r="E26" s="8">
        <v>10.0</v>
      </c>
      <c r="F26" s="11">
        <v>2400.0</v>
      </c>
      <c r="G26" s="4">
        <f t="shared" si="1"/>
        <v>352</v>
      </c>
      <c r="H26" s="4">
        <f t="shared" si="2"/>
        <v>602</v>
      </c>
      <c r="I26" s="5">
        <f t="shared" si="3"/>
        <v>158.113883</v>
      </c>
      <c r="J26" s="5">
        <f t="shared" si="4"/>
        <v>1.934065934</v>
      </c>
      <c r="K26" s="1" t="s">
        <v>16</v>
      </c>
      <c r="L26" s="6">
        <f t="shared" si="5"/>
        <v>0.4166666667</v>
      </c>
      <c r="M26" s="7">
        <v>46037.04178240741</v>
      </c>
    </row>
    <row r="27" ht="15.75" customHeight="1">
      <c r="A27" s="8">
        <v>11.0</v>
      </c>
      <c r="B27" s="9" t="s">
        <v>18</v>
      </c>
      <c r="C27" s="10">
        <v>27.0</v>
      </c>
      <c r="D27" s="3" t="s">
        <v>14</v>
      </c>
      <c r="E27" s="8">
        <v>11.0</v>
      </c>
      <c r="F27" s="11">
        <v>2600.0</v>
      </c>
      <c r="G27" s="4">
        <f t="shared" si="1"/>
        <v>552</v>
      </c>
      <c r="H27" s="4">
        <f t="shared" si="2"/>
        <v>700</v>
      </c>
      <c r="I27" s="5">
        <f t="shared" si="3"/>
        <v>108.4896308</v>
      </c>
      <c r="J27" s="5">
        <f t="shared" si="4"/>
        <v>2.095238095</v>
      </c>
      <c r="K27" s="1" t="s">
        <v>17</v>
      </c>
      <c r="L27" s="6">
        <f t="shared" si="5"/>
        <v>0.6547619048</v>
      </c>
      <c r="M27" s="7">
        <v>46037.04179398148</v>
      </c>
    </row>
    <row r="28" ht="15.75" customHeight="1">
      <c r="A28" s="8">
        <v>12.0</v>
      </c>
      <c r="B28" s="12" t="s">
        <v>18</v>
      </c>
      <c r="C28" s="10">
        <v>27.0</v>
      </c>
      <c r="D28" s="3" t="s">
        <v>14</v>
      </c>
      <c r="E28" s="8">
        <v>12.0</v>
      </c>
      <c r="F28" s="11">
        <v>2700.0</v>
      </c>
      <c r="G28" s="4">
        <f t="shared" si="1"/>
        <v>652</v>
      </c>
      <c r="H28" s="4">
        <f t="shared" si="2"/>
        <v>599</v>
      </c>
      <c r="I28" s="5">
        <f t="shared" si="3"/>
        <v>316.4569481</v>
      </c>
      <c r="J28" s="5">
        <f t="shared" si="4"/>
        <v>2.175824176</v>
      </c>
      <c r="K28" s="1" t="s">
        <v>17</v>
      </c>
      <c r="L28" s="6">
        <f t="shared" si="5"/>
        <v>0.7738095238</v>
      </c>
      <c r="M28" s="7">
        <v>46037.04180555556</v>
      </c>
    </row>
    <row r="29" ht="15.75" customHeight="1">
      <c r="A29" s="8">
        <v>13.0</v>
      </c>
      <c r="B29" s="9" t="s">
        <v>18</v>
      </c>
      <c r="C29" s="10">
        <v>27.0</v>
      </c>
      <c r="D29" s="3" t="s">
        <v>14</v>
      </c>
      <c r="E29" s="8">
        <v>13.0</v>
      </c>
      <c r="F29" s="11">
        <v>2750.0</v>
      </c>
      <c r="G29" s="4">
        <f t="shared" si="1"/>
        <v>702</v>
      </c>
      <c r="H29" s="4">
        <f t="shared" si="2"/>
        <v>469.4</v>
      </c>
      <c r="I29" s="5">
        <f t="shared" si="3"/>
        <v>408.5998042</v>
      </c>
      <c r="J29" s="5">
        <f t="shared" si="4"/>
        <v>2.216117216</v>
      </c>
      <c r="K29" s="1" t="s">
        <v>17</v>
      </c>
      <c r="L29" s="6">
        <f t="shared" si="5"/>
        <v>0.8333333333</v>
      </c>
      <c r="M29" s="7">
        <v>46037.041817129626</v>
      </c>
    </row>
    <row r="30" ht="15.75" customHeight="1">
      <c r="A30" s="8">
        <v>14.0</v>
      </c>
      <c r="B30" s="12" t="s">
        <v>18</v>
      </c>
      <c r="C30" s="10">
        <v>27.0</v>
      </c>
      <c r="D30" s="3" t="s">
        <v>14</v>
      </c>
      <c r="E30" s="8">
        <v>14.0</v>
      </c>
      <c r="F30" s="11">
        <v>2800.0</v>
      </c>
      <c r="G30" s="4">
        <f t="shared" si="1"/>
        <v>752</v>
      </c>
      <c r="H30" s="4">
        <f t="shared" si="2"/>
        <v>335</v>
      </c>
      <c r="I30" s="5">
        <f t="shared" si="3"/>
        <v>423.2221639</v>
      </c>
      <c r="J30" s="5">
        <f t="shared" si="4"/>
        <v>2.256410256</v>
      </c>
      <c r="K30" s="1" t="s">
        <v>17</v>
      </c>
      <c r="L30" s="6">
        <f t="shared" si="5"/>
        <v>0.8928571429</v>
      </c>
      <c r="M30" s="7">
        <v>46037.0418287037</v>
      </c>
    </row>
    <row r="31" ht="15.75" customHeight="1">
      <c r="A31" s="8">
        <v>15.0</v>
      </c>
      <c r="B31" s="9" t="s">
        <v>18</v>
      </c>
      <c r="C31" s="10">
        <v>27.0</v>
      </c>
      <c r="D31" s="3" t="s">
        <v>14</v>
      </c>
      <c r="E31" s="8">
        <v>15.0</v>
      </c>
      <c r="F31" s="11">
        <v>2890.0</v>
      </c>
      <c r="G31" s="4">
        <f t="shared" si="1"/>
        <v>842</v>
      </c>
      <c r="H31" s="4">
        <f t="shared" si="2"/>
        <v>191.8</v>
      </c>
      <c r="I31" s="5">
        <f t="shared" si="3"/>
        <v>363.8161624</v>
      </c>
      <c r="J31" s="5">
        <f t="shared" si="4"/>
        <v>2.328937729</v>
      </c>
      <c r="K31" s="1" t="s">
        <v>17</v>
      </c>
      <c r="L31" s="6">
        <f t="shared" si="5"/>
        <v>1</v>
      </c>
      <c r="M31" s="7">
        <v>46037.04184027778</v>
      </c>
    </row>
    <row r="32" ht="15.75" customHeight="1">
      <c r="A32" s="8">
        <v>1.0</v>
      </c>
      <c r="B32" s="12" t="s">
        <v>19</v>
      </c>
      <c r="C32" s="10">
        <v>28.0</v>
      </c>
      <c r="D32" s="10" t="s">
        <v>20</v>
      </c>
      <c r="E32" s="8">
        <v>1.0</v>
      </c>
      <c r="F32" s="11">
        <v>2095.0</v>
      </c>
      <c r="G32" s="4">
        <f t="shared" si="1"/>
        <v>47</v>
      </c>
      <c r="H32" s="4">
        <f t="shared" si="2"/>
        <v>31.4</v>
      </c>
      <c r="I32" s="5">
        <f t="shared" si="3"/>
        <v>16.51665826</v>
      </c>
      <c r="J32" s="5">
        <f t="shared" si="4"/>
        <v>1.688278388</v>
      </c>
      <c r="K32" s="1" t="s">
        <v>15</v>
      </c>
      <c r="L32" s="6">
        <f t="shared" si="5"/>
        <v>0.05357142857</v>
      </c>
    </row>
    <row r="33" ht="15.75" customHeight="1">
      <c r="A33" s="8">
        <v>2.0</v>
      </c>
      <c r="B33" s="9" t="s">
        <v>19</v>
      </c>
      <c r="C33" s="10">
        <v>28.0</v>
      </c>
      <c r="D33" s="10" t="s">
        <v>20</v>
      </c>
      <c r="E33" s="8">
        <v>2.0</v>
      </c>
      <c r="F33" s="11">
        <v>2052.0</v>
      </c>
      <c r="G33" s="4">
        <f t="shared" si="1"/>
        <v>4</v>
      </c>
      <c r="H33" s="4">
        <f t="shared" si="2"/>
        <v>75.8</v>
      </c>
      <c r="I33" s="5">
        <f t="shared" si="3"/>
        <v>108.9091364</v>
      </c>
      <c r="J33" s="5">
        <f t="shared" si="4"/>
        <v>1.653626374</v>
      </c>
      <c r="K33" s="1" t="s">
        <v>15</v>
      </c>
      <c r="L33" s="6">
        <f t="shared" si="5"/>
        <v>0.002380952381</v>
      </c>
    </row>
    <row r="34" ht="15.75" customHeight="1">
      <c r="A34" s="8">
        <v>3.0</v>
      </c>
      <c r="B34" s="12" t="s">
        <v>19</v>
      </c>
      <c r="C34" s="10">
        <v>28.0</v>
      </c>
      <c r="D34" s="10" t="s">
        <v>20</v>
      </c>
      <c r="E34" s="8">
        <v>3.0</v>
      </c>
      <c r="F34" s="11">
        <v>2078.0</v>
      </c>
      <c r="G34" s="4">
        <f t="shared" si="1"/>
        <v>30</v>
      </c>
      <c r="H34" s="4">
        <f t="shared" si="2"/>
        <v>142</v>
      </c>
      <c r="I34" s="5">
        <f t="shared" si="3"/>
        <v>147.9543849</v>
      </c>
      <c r="J34" s="5">
        <f t="shared" si="4"/>
        <v>1.674578755</v>
      </c>
      <c r="K34" s="1" t="s">
        <v>15</v>
      </c>
      <c r="L34" s="6">
        <f t="shared" si="5"/>
        <v>0.03333333333</v>
      </c>
    </row>
    <row r="35" ht="15.75" customHeight="1">
      <c r="A35" s="8">
        <v>4.0</v>
      </c>
      <c r="B35" s="9" t="s">
        <v>19</v>
      </c>
      <c r="C35" s="10">
        <v>28.0</v>
      </c>
      <c r="D35" s="10" t="s">
        <v>20</v>
      </c>
      <c r="E35" s="8">
        <v>4.0</v>
      </c>
      <c r="F35" s="11">
        <v>2084.0</v>
      </c>
      <c r="G35" s="4">
        <f t="shared" si="1"/>
        <v>36</v>
      </c>
      <c r="H35" s="4">
        <f t="shared" si="2"/>
        <v>207.6</v>
      </c>
      <c r="I35" s="5">
        <f t="shared" si="3"/>
        <v>158.2381117</v>
      </c>
      <c r="J35" s="5">
        <f t="shared" si="4"/>
        <v>1.679413919</v>
      </c>
      <c r="K35" s="1" t="s">
        <v>15</v>
      </c>
      <c r="L35" s="6">
        <f t="shared" si="5"/>
        <v>0.04047619048</v>
      </c>
    </row>
    <row r="36" ht="15.75" customHeight="1">
      <c r="A36" s="8">
        <v>5.0</v>
      </c>
      <c r="B36" s="12" t="s">
        <v>19</v>
      </c>
      <c r="C36" s="10">
        <v>28.0</v>
      </c>
      <c r="D36" s="10" t="s">
        <v>20</v>
      </c>
      <c r="E36" s="8">
        <v>5.0</v>
      </c>
      <c r="F36" s="11">
        <v>2088.0</v>
      </c>
      <c r="G36" s="4">
        <f t="shared" si="1"/>
        <v>40</v>
      </c>
      <c r="H36" s="4">
        <f t="shared" si="2"/>
        <v>275.4</v>
      </c>
      <c r="I36" s="5">
        <f t="shared" si="3"/>
        <v>137.6128628</v>
      </c>
      <c r="J36" s="5">
        <f t="shared" si="4"/>
        <v>1.682637363</v>
      </c>
      <c r="K36" s="1" t="s">
        <v>15</v>
      </c>
      <c r="L36" s="6">
        <f t="shared" si="5"/>
        <v>0.04523809524</v>
      </c>
    </row>
    <row r="37" ht="15.75" customHeight="1">
      <c r="A37" s="8">
        <v>6.0</v>
      </c>
      <c r="B37" s="9" t="s">
        <v>19</v>
      </c>
      <c r="C37" s="10">
        <v>28.0</v>
      </c>
      <c r="D37" s="10" t="s">
        <v>20</v>
      </c>
      <c r="E37" s="8">
        <v>6.0</v>
      </c>
      <c r="F37" s="11">
        <v>2317.0</v>
      </c>
      <c r="G37" s="4">
        <f t="shared" si="1"/>
        <v>269</v>
      </c>
      <c r="H37" s="4">
        <f t="shared" si="2"/>
        <v>329.2</v>
      </c>
      <c r="I37" s="5">
        <f t="shared" si="3"/>
        <v>41.81148168</v>
      </c>
      <c r="J37" s="5">
        <f t="shared" si="4"/>
        <v>1.867179487</v>
      </c>
      <c r="K37" s="1" t="s">
        <v>16</v>
      </c>
      <c r="L37" s="6">
        <f t="shared" si="5"/>
        <v>0.3178571429</v>
      </c>
    </row>
    <row r="38" ht="15.75" customHeight="1">
      <c r="A38" s="8">
        <v>7.0</v>
      </c>
      <c r="B38" s="12" t="s">
        <v>19</v>
      </c>
      <c r="C38" s="10">
        <v>28.0</v>
      </c>
      <c r="D38" s="10" t="s">
        <v>20</v>
      </c>
      <c r="E38" s="8">
        <v>7.0</v>
      </c>
      <c r="F38" s="11">
        <v>2383.0</v>
      </c>
      <c r="G38" s="4">
        <f t="shared" si="1"/>
        <v>335</v>
      </c>
      <c r="H38" s="4">
        <f t="shared" si="2"/>
        <v>448.6</v>
      </c>
      <c r="I38" s="5">
        <f t="shared" si="3"/>
        <v>234.6493128</v>
      </c>
      <c r="J38" s="5">
        <f t="shared" si="4"/>
        <v>1.9203663</v>
      </c>
      <c r="K38" s="1" t="s">
        <v>16</v>
      </c>
      <c r="L38" s="6">
        <f t="shared" si="5"/>
        <v>0.3964285714</v>
      </c>
    </row>
    <row r="39" ht="15.75" customHeight="1">
      <c r="A39" s="8">
        <v>8.0</v>
      </c>
      <c r="B39" s="9" t="s">
        <v>19</v>
      </c>
      <c r="C39" s="10">
        <v>28.0</v>
      </c>
      <c r="D39" s="10" t="s">
        <v>20</v>
      </c>
      <c r="E39" s="8">
        <v>8.0</v>
      </c>
      <c r="F39" s="11">
        <v>2406.0</v>
      </c>
      <c r="G39" s="4">
        <f t="shared" si="1"/>
        <v>358</v>
      </c>
      <c r="H39" s="4">
        <f t="shared" si="2"/>
        <v>557</v>
      </c>
      <c r="I39" s="5">
        <f t="shared" si="3"/>
        <v>288.1449288</v>
      </c>
      <c r="J39" s="5">
        <f t="shared" si="4"/>
        <v>1.938901099</v>
      </c>
      <c r="K39" s="1" t="s">
        <v>16</v>
      </c>
      <c r="L39" s="6">
        <f t="shared" si="5"/>
        <v>0.4238095238</v>
      </c>
    </row>
    <row r="40" ht="15.75" customHeight="1">
      <c r="A40" s="8">
        <v>9.0</v>
      </c>
      <c r="B40" s="12" t="s">
        <v>19</v>
      </c>
      <c r="C40" s="10">
        <v>28.0</v>
      </c>
      <c r="D40" s="10" t="s">
        <v>20</v>
      </c>
      <c r="E40" s="8">
        <v>9.0</v>
      </c>
      <c r="F40" s="11">
        <v>2423.0</v>
      </c>
      <c r="G40" s="4">
        <f t="shared" si="1"/>
        <v>375</v>
      </c>
      <c r="H40" s="4">
        <f t="shared" si="2"/>
        <v>635</v>
      </c>
      <c r="I40" s="5">
        <f t="shared" si="3"/>
        <v>273.2077964</v>
      </c>
      <c r="J40" s="5">
        <f t="shared" si="4"/>
        <v>1.952600733</v>
      </c>
      <c r="K40" s="1" t="s">
        <v>16</v>
      </c>
      <c r="L40" s="6">
        <f t="shared" si="5"/>
        <v>0.444047619</v>
      </c>
    </row>
    <row r="41" ht="15.75" customHeight="1">
      <c r="A41" s="8">
        <v>10.0</v>
      </c>
      <c r="B41" s="9" t="s">
        <v>19</v>
      </c>
      <c r="C41" s="10">
        <v>28.0</v>
      </c>
      <c r="D41" s="10" t="s">
        <v>20</v>
      </c>
      <c r="E41" s="8">
        <v>10.0</v>
      </c>
      <c r="F41" s="11">
        <v>2357.0</v>
      </c>
      <c r="G41" s="4">
        <f t="shared" si="1"/>
        <v>309</v>
      </c>
      <c r="H41" s="4">
        <f t="shared" si="2"/>
        <v>713</v>
      </c>
      <c r="I41" s="5">
        <f t="shared" si="3"/>
        <v>233.157672</v>
      </c>
      <c r="J41" s="5">
        <f t="shared" si="4"/>
        <v>1.899413919</v>
      </c>
      <c r="K41" s="1" t="s">
        <v>16</v>
      </c>
      <c r="L41" s="6">
        <f t="shared" si="5"/>
        <v>0.3654761905</v>
      </c>
    </row>
    <row r="42" ht="15.75" customHeight="1">
      <c r="A42" s="8">
        <v>11.0</v>
      </c>
      <c r="B42" s="12" t="s">
        <v>19</v>
      </c>
      <c r="C42" s="10">
        <v>28.0</v>
      </c>
      <c r="D42" s="10" t="s">
        <v>20</v>
      </c>
      <c r="E42" s="8">
        <v>11.0</v>
      </c>
      <c r="F42" s="11">
        <v>2914.0</v>
      </c>
      <c r="G42" s="4">
        <f t="shared" si="1"/>
        <v>866</v>
      </c>
      <c r="H42" s="4">
        <f t="shared" si="2"/>
        <v>806.8</v>
      </c>
      <c r="I42" s="5">
        <f t="shared" si="3"/>
        <v>60.13900565</v>
      </c>
      <c r="J42" s="5">
        <f t="shared" si="4"/>
        <v>2.348278388</v>
      </c>
      <c r="K42" s="1" t="s">
        <v>17</v>
      </c>
      <c r="L42" s="6">
        <f t="shared" si="5"/>
        <v>1.028571429</v>
      </c>
    </row>
    <row r="43" ht="15.75" customHeight="1">
      <c r="A43" s="8">
        <v>12.0</v>
      </c>
      <c r="B43" s="9" t="s">
        <v>19</v>
      </c>
      <c r="C43" s="10">
        <v>28.0</v>
      </c>
      <c r="D43" s="10" t="s">
        <v>20</v>
      </c>
      <c r="E43" s="8">
        <v>12.0</v>
      </c>
      <c r="F43" s="11">
        <v>2925.0</v>
      </c>
      <c r="G43" s="4">
        <f t="shared" si="1"/>
        <v>877</v>
      </c>
      <c r="H43" s="4">
        <f t="shared" si="2"/>
        <v>638</v>
      </c>
      <c r="I43" s="5">
        <f t="shared" si="3"/>
        <v>367.4788429</v>
      </c>
      <c r="J43" s="5">
        <f t="shared" si="4"/>
        <v>2.357142857</v>
      </c>
      <c r="K43" s="1" t="s">
        <v>17</v>
      </c>
      <c r="L43" s="6">
        <f t="shared" si="5"/>
        <v>1.041666667</v>
      </c>
    </row>
    <row r="44" ht="15.75" customHeight="1">
      <c r="A44" s="8">
        <v>13.0</v>
      </c>
      <c r="B44" s="12" t="s">
        <v>19</v>
      </c>
      <c r="C44" s="10">
        <v>28.0</v>
      </c>
      <c r="D44" s="10" t="s">
        <v>20</v>
      </c>
      <c r="E44" s="8">
        <v>13.0</v>
      </c>
      <c r="F44" s="11">
        <v>2796.0</v>
      </c>
      <c r="G44" s="4">
        <f t="shared" si="1"/>
        <v>748</v>
      </c>
      <c r="H44" s="4">
        <f t="shared" si="2"/>
        <v>464.4</v>
      </c>
      <c r="I44" s="5">
        <f t="shared" si="3"/>
        <v>426.9244664</v>
      </c>
      <c r="J44" s="5">
        <f t="shared" si="4"/>
        <v>2.253186813</v>
      </c>
      <c r="K44" s="1" t="s">
        <v>17</v>
      </c>
      <c r="L44" s="6">
        <f t="shared" si="5"/>
        <v>0.8880952381</v>
      </c>
    </row>
    <row r="45" ht="15.75" customHeight="1">
      <c r="A45" s="8">
        <v>14.0</v>
      </c>
      <c r="B45" s="9" t="s">
        <v>19</v>
      </c>
      <c r="C45" s="10">
        <v>28.0</v>
      </c>
      <c r="D45" s="10" t="s">
        <v>20</v>
      </c>
      <c r="E45" s="8">
        <v>14.0</v>
      </c>
      <c r="F45" s="11">
        <v>2813.0</v>
      </c>
      <c r="G45" s="4">
        <f t="shared" si="1"/>
        <v>765</v>
      </c>
      <c r="H45" s="4">
        <f t="shared" si="2"/>
        <v>314.8</v>
      </c>
      <c r="I45" s="5">
        <f t="shared" si="3"/>
        <v>428.3238261</v>
      </c>
      <c r="J45" s="5">
        <f t="shared" si="4"/>
        <v>2.266886447</v>
      </c>
      <c r="K45" s="1" t="s">
        <v>17</v>
      </c>
      <c r="L45" s="6">
        <f t="shared" si="5"/>
        <v>0.9083333333</v>
      </c>
    </row>
    <row r="46" ht="15.75" customHeight="1">
      <c r="A46" s="8">
        <v>15.0</v>
      </c>
      <c r="B46" s="12" t="s">
        <v>19</v>
      </c>
      <c r="C46" s="10">
        <v>28.0</v>
      </c>
      <c r="D46" s="10" t="s">
        <v>20</v>
      </c>
      <c r="E46" s="8">
        <v>15.0</v>
      </c>
      <c r="F46" s="11">
        <v>2826.0</v>
      </c>
      <c r="G46" s="4">
        <f t="shared" si="1"/>
        <v>778</v>
      </c>
      <c r="H46" s="4">
        <f t="shared" si="2"/>
        <v>164.6</v>
      </c>
      <c r="I46" s="5">
        <f t="shared" si="3"/>
        <v>353.053537</v>
      </c>
      <c r="J46" s="5">
        <f t="shared" si="4"/>
        <v>2.277362637</v>
      </c>
      <c r="K46" s="1" t="s">
        <v>17</v>
      </c>
      <c r="L46" s="6">
        <f t="shared" si="5"/>
        <v>0.9238095238</v>
      </c>
    </row>
    <row r="47" ht="15.75" customHeight="1">
      <c r="A47" s="8">
        <v>1.0</v>
      </c>
      <c r="B47" s="9" t="s">
        <v>21</v>
      </c>
      <c r="C47" s="10">
        <v>22.0</v>
      </c>
      <c r="D47" s="10" t="s">
        <v>14</v>
      </c>
      <c r="E47" s="8">
        <v>1.0</v>
      </c>
      <c r="F47" s="11">
        <v>2026.0</v>
      </c>
      <c r="G47" s="4">
        <f t="shared" si="1"/>
        <v>22</v>
      </c>
      <c r="H47" s="4">
        <f t="shared" si="2"/>
        <v>12.6</v>
      </c>
      <c r="I47" s="5">
        <f t="shared" si="3"/>
        <v>8.532291603</v>
      </c>
      <c r="J47" s="5">
        <f t="shared" si="4"/>
        <v>1.632673993</v>
      </c>
      <c r="K47" s="1" t="s">
        <v>15</v>
      </c>
      <c r="L47" s="6">
        <f t="shared" si="5"/>
        <v>0.02380952381</v>
      </c>
    </row>
    <row r="48" ht="15.75" customHeight="1">
      <c r="A48" s="8">
        <v>2.0</v>
      </c>
      <c r="B48" s="12" t="s">
        <v>21</v>
      </c>
      <c r="C48" s="10">
        <v>22.0</v>
      </c>
      <c r="D48" s="10" t="s">
        <v>14</v>
      </c>
      <c r="E48" s="8">
        <v>2.0</v>
      </c>
      <c r="F48" s="11">
        <v>2039.0</v>
      </c>
      <c r="G48" s="4">
        <f t="shared" si="1"/>
        <v>9</v>
      </c>
      <c r="H48" s="4">
        <f t="shared" si="2"/>
        <v>42.8</v>
      </c>
      <c r="I48" s="5">
        <f t="shared" si="3"/>
        <v>82.22712448</v>
      </c>
      <c r="J48" s="5">
        <f t="shared" si="4"/>
        <v>1.643150183</v>
      </c>
      <c r="K48" s="1" t="s">
        <v>15</v>
      </c>
      <c r="L48" s="6">
        <f t="shared" si="5"/>
        <v>0.008333333333</v>
      </c>
    </row>
    <row r="49" ht="15.75" customHeight="1">
      <c r="A49" s="8">
        <v>3.0</v>
      </c>
      <c r="B49" s="9" t="s">
        <v>21</v>
      </c>
      <c r="C49" s="10">
        <v>22.0</v>
      </c>
      <c r="D49" s="10" t="s">
        <v>14</v>
      </c>
      <c r="E49" s="8">
        <v>3.0</v>
      </c>
      <c r="F49" s="11">
        <v>2048.0</v>
      </c>
      <c r="G49" s="4">
        <f t="shared" si="1"/>
        <v>0</v>
      </c>
      <c r="H49" s="4">
        <f t="shared" si="2"/>
        <v>73.4</v>
      </c>
      <c r="I49" s="5">
        <f t="shared" si="3"/>
        <v>97.89177698</v>
      </c>
      <c r="J49" s="5">
        <f t="shared" si="4"/>
        <v>1.65040293</v>
      </c>
      <c r="K49" s="1" t="s">
        <v>15</v>
      </c>
      <c r="L49" s="6">
        <f t="shared" si="5"/>
        <v>0</v>
      </c>
    </row>
    <row r="50" ht="15.75" customHeight="1">
      <c r="A50" s="8">
        <v>4.0</v>
      </c>
      <c r="B50" s="12" t="s">
        <v>21</v>
      </c>
      <c r="C50" s="10">
        <v>22.0</v>
      </c>
      <c r="D50" s="10" t="s">
        <v>14</v>
      </c>
      <c r="E50" s="8">
        <v>4.0</v>
      </c>
      <c r="F50" s="11">
        <v>2034.0</v>
      </c>
      <c r="G50" s="4">
        <f t="shared" si="1"/>
        <v>14</v>
      </c>
      <c r="H50" s="4">
        <f t="shared" si="2"/>
        <v>97.8</v>
      </c>
      <c r="I50" s="5">
        <f t="shared" si="3"/>
        <v>94.14350748</v>
      </c>
      <c r="J50" s="5">
        <f t="shared" si="4"/>
        <v>1.639120879</v>
      </c>
      <c r="K50" s="1" t="s">
        <v>15</v>
      </c>
      <c r="L50" s="6">
        <f t="shared" si="5"/>
        <v>0.01428571429</v>
      </c>
    </row>
    <row r="51" ht="15.75" customHeight="1">
      <c r="A51" s="8">
        <v>5.0</v>
      </c>
      <c r="B51" s="9" t="s">
        <v>21</v>
      </c>
      <c r="C51" s="10">
        <v>22.0</v>
      </c>
      <c r="D51" s="10" t="s">
        <v>14</v>
      </c>
      <c r="E51" s="8">
        <v>5.0</v>
      </c>
      <c r="F51" s="11">
        <v>2030.0</v>
      </c>
      <c r="G51" s="4">
        <f t="shared" si="1"/>
        <v>18</v>
      </c>
      <c r="H51" s="4">
        <f t="shared" si="2"/>
        <v>131.8</v>
      </c>
      <c r="I51" s="5">
        <f t="shared" si="3"/>
        <v>83.08309094</v>
      </c>
      <c r="J51" s="5">
        <f t="shared" si="4"/>
        <v>1.635897436</v>
      </c>
      <c r="K51" s="1" t="s">
        <v>15</v>
      </c>
      <c r="L51" s="6">
        <f t="shared" si="5"/>
        <v>0.01904761905</v>
      </c>
    </row>
    <row r="52" ht="15.75" customHeight="1">
      <c r="A52" s="8">
        <v>6.0</v>
      </c>
      <c r="B52" s="12" t="s">
        <v>21</v>
      </c>
      <c r="C52" s="10">
        <v>22.0</v>
      </c>
      <c r="D52" s="10" t="s">
        <v>14</v>
      </c>
      <c r="E52" s="8">
        <v>6.0</v>
      </c>
      <c r="F52" s="11">
        <v>2221.0</v>
      </c>
      <c r="G52" s="4">
        <f t="shared" si="1"/>
        <v>173</v>
      </c>
      <c r="H52" s="4">
        <f t="shared" si="2"/>
        <v>165.8</v>
      </c>
      <c r="I52" s="5">
        <f t="shared" si="3"/>
        <v>26.49905659</v>
      </c>
      <c r="J52" s="5">
        <f t="shared" si="4"/>
        <v>1.78981685</v>
      </c>
      <c r="K52" s="1" t="s">
        <v>16</v>
      </c>
      <c r="L52" s="6">
        <f t="shared" si="5"/>
        <v>0.2035714286</v>
      </c>
    </row>
    <row r="53" ht="15.75" customHeight="1">
      <c r="A53" s="8">
        <v>7.0</v>
      </c>
      <c r="B53" s="9" t="s">
        <v>21</v>
      </c>
      <c r="C53" s="10">
        <v>22.0</v>
      </c>
      <c r="D53" s="10" t="s">
        <v>14</v>
      </c>
      <c r="E53" s="8">
        <v>7.0</v>
      </c>
      <c r="F53" s="11">
        <v>2210.0</v>
      </c>
      <c r="G53" s="4">
        <f t="shared" si="1"/>
        <v>162</v>
      </c>
      <c r="H53" s="4">
        <f t="shared" si="2"/>
        <v>287.6</v>
      </c>
      <c r="I53" s="5">
        <f t="shared" si="3"/>
        <v>277.6162819</v>
      </c>
      <c r="J53" s="5">
        <f t="shared" si="4"/>
        <v>1.780952381</v>
      </c>
      <c r="K53" s="1" t="s">
        <v>16</v>
      </c>
      <c r="L53" s="6">
        <f t="shared" si="5"/>
        <v>0.1904761905</v>
      </c>
    </row>
    <row r="54" ht="15.75" customHeight="1">
      <c r="A54" s="8">
        <v>8.0</v>
      </c>
      <c r="B54" s="12" t="s">
        <v>21</v>
      </c>
      <c r="C54" s="10">
        <v>22.0</v>
      </c>
      <c r="D54" s="10" t="s">
        <v>14</v>
      </c>
      <c r="E54" s="8">
        <v>8.0</v>
      </c>
      <c r="F54" s="11">
        <v>2170.0</v>
      </c>
      <c r="G54" s="4">
        <f t="shared" si="1"/>
        <v>122</v>
      </c>
      <c r="H54" s="4">
        <f t="shared" si="2"/>
        <v>363</v>
      </c>
      <c r="I54" s="5">
        <f t="shared" si="3"/>
        <v>286.043703</v>
      </c>
      <c r="J54" s="5">
        <f t="shared" si="4"/>
        <v>1.748717949</v>
      </c>
      <c r="K54" s="1" t="s">
        <v>16</v>
      </c>
      <c r="L54" s="6">
        <f t="shared" si="5"/>
        <v>0.1428571429</v>
      </c>
    </row>
    <row r="55" ht="15.75" customHeight="1">
      <c r="A55" s="8">
        <v>9.0</v>
      </c>
      <c r="B55" s="9" t="s">
        <v>21</v>
      </c>
      <c r="C55" s="10">
        <v>22.0</v>
      </c>
      <c r="D55" s="10" t="s">
        <v>14</v>
      </c>
      <c r="E55" s="8">
        <v>9.0</v>
      </c>
      <c r="F55" s="11">
        <v>2232.0</v>
      </c>
      <c r="G55" s="4">
        <f t="shared" si="1"/>
        <v>184</v>
      </c>
      <c r="H55" s="4">
        <f t="shared" si="2"/>
        <v>503.4</v>
      </c>
      <c r="I55" s="5">
        <f t="shared" si="3"/>
        <v>309.5008885</v>
      </c>
      <c r="J55" s="5">
        <f t="shared" si="4"/>
        <v>1.798681319</v>
      </c>
      <c r="K55" s="1" t="s">
        <v>16</v>
      </c>
      <c r="L55" s="6">
        <f t="shared" si="5"/>
        <v>0.2166666667</v>
      </c>
    </row>
    <row r="56" ht="15.75" customHeight="1">
      <c r="A56" s="8">
        <v>10.0</v>
      </c>
      <c r="B56" s="12" t="s">
        <v>21</v>
      </c>
      <c r="C56" s="10">
        <v>22.0</v>
      </c>
      <c r="D56" s="10" t="s">
        <v>14</v>
      </c>
      <c r="E56" s="8">
        <v>10.0</v>
      </c>
      <c r="F56" s="11">
        <v>2236.0</v>
      </c>
      <c r="G56" s="4">
        <f t="shared" si="1"/>
        <v>188</v>
      </c>
      <c r="H56" s="4">
        <f t="shared" si="2"/>
        <v>576.8</v>
      </c>
      <c r="I56" s="5">
        <f t="shared" si="3"/>
        <v>253.2167056</v>
      </c>
      <c r="J56" s="5">
        <f t="shared" si="4"/>
        <v>1.801904762</v>
      </c>
      <c r="K56" s="1" t="s">
        <v>16</v>
      </c>
      <c r="L56" s="6">
        <f t="shared" si="5"/>
        <v>0.2214285714</v>
      </c>
    </row>
    <row r="57" ht="15.75" customHeight="1">
      <c r="A57" s="8">
        <v>11.0</v>
      </c>
      <c r="B57" s="9" t="s">
        <v>21</v>
      </c>
      <c r="C57" s="10">
        <v>22.0</v>
      </c>
      <c r="D57" s="10" t="s">
        <v>14</v>
      </c>
      <c r="E57" s="8">
        <v>11.0</v>
      </c>
      <c r="F57" s="11">
        <v>2830.0</v>
      </c>
      <c r="G57" s="4">
        <f t="shared" si="1"/>
        <v>782</v>
      </c>
      <c r="H57" s="4">
        <f t="shared" si="2"/>
        <v>701.4</v>
      </c>
      <c r="I57" s="5">
        <f t="shared" si="3"/>
        <v>143.6429601</v>
      </c>
      <c r="J57" s="5">
        <f t="shared" si="4"/>
        <v>2.280586081</v>
      </c>
      <c r="K57" s="1" t="s">
        <v>17</v>
      </c>
      <c r="L57" s="6">
        <f t="shared" si="5"/>
        <v>0.9285714286</v>
      </c>
    </row>
    <row r="58" ht="15.75" customHeight="1">
      <c r="A58" s="8">
        <v>12.0</v>
      </c>
      <c r="B58" s="12" t="s">
        <v>21</v>
      </c>
      <c r="C58" s="10">
        <v>22.0</v>
      </c>
      <c r="D58" s="10" t="s">
        <v>14</v>
      </c>
      <c r="E58" s="8">
        <v>12.0</v>
      </c>
      <c r="F58" s="11">
        <v>2587.0</v>
      </c>
      <c r="G58" s="4">
        <f t="shared" si="1"/>
        <v>539</v>
      </c>
      <c r="H58" s="4">
        <f t="shared" si="2"/>
        <v>554.6</v>
      </c>
      <c r="I58" s="5">
        <f t="shared" si="3"/>
        <v>353.5028996</v>
      </c>
      <c r="J58" s="5">
        <f t="shared" si="4"/>
        <v>2.084761905</v>
      </c>
      <c r="K58" s="1" t="s">
        <v>17</v>
      </c>
      <c r="L58" s="6">
        <f t="shared" si="5"/>
        <v>0.6392857143</v>
      </c>
    </row>
    <row r="59" ht="15.75" customHeight="1">
      <c r="A59" s="8">
        <v>13.0</v>
      </c>
      <c r="B59" s="9" t="s">
        <v>21</v>
      </c>
      <c r="C59" s="10">
        <v>22.0</v>
      </c>
      <c r="D59" s="10" t="s">
        <v>14</v>
      </c>
      <c r="E59" s="8">
        <v>13.0</v>
      </c>
      <c r="F59" s="11">
        <v>2872.0</v>
      </c>
      <c r="G59" s="4">
        <f t="shared" si="1"/>
        <v>824</v>
      </c>
      <c r="H59" s="4">
        <f t="shared" si="2"/>
        <v>454.4</v>
      </c>
      <c r="I59" s="5">
        <f t="shared" si="3"/>
        <v>436.4762307</v>
      </c>
      <c r="J59" s="5">
        <f t="shared" si="4"/>
        <v>2.314432234</v>
      </c>
      <c r="K59" s="1" t="s">
        <v>17</v>
      </c>
      <c r="L59" s="6">
        <f t="shared" si="5"/>
        <v>0.9785714286</v>
      </c>
    </row>
    <row r="60" ht="15.75" customHeight="1">
      <c r="A60" s="8">
        <v>14.0</v>
      </c>
      <c r="B60" s="12" t="s">
        <v>21</v>
      </c>
      <c r="C60" s="10">
        <v>22.0</v>
      </c>
      <c r="D60" s="10" t="s">
        <v>14</v>
      </c>
      <c r="E60" s="8">
        <v>14.0</v>
      </c>
      <c r="F60" s="11">
        <v>2599.0</v>
      </c>
      <c r="G60" s="4">
        <f t="shared" si="1"/>
        <v>551</v>
      </c>
      <c r="H60" s="4">
        <f t="shared" si="2"/>
        <v>300.2</v>
      </c>
      <c r="I60" s="5">
        <f t="shared" si="3"/>
        <v>408.8805449</v>
      </c>
      <c r="J60" s="5">
        <f t="shared" si="4"/>
        <v>2.094432234</v>
      </c>
      <c r="K60" s="1" t="s">
        <v>17</v>
      </c>
      <c r="L60" s="6">
        <f t="shared" si="5"/>
        <v>0.6535714286</v>
      </c>
    </row>
    <row r="61" ht="15.75" customHeight="1">
      <c r="A61" s="8">
        <v>15.0</v>
      </c>
      <c r="B61" s="9" t="s">
        <v>21</v>
      </c>
      <c r="C61" s="10">
        <v>22.0</v>
      </c>
      <c r="D61" s="10" t="s">
        <v>14</v>
      </c>
      <c r="E61" s="8">
        <v>15.0</v>
      </c>
      <c r="F61" s="11">
        <v>2859.0</v>
      </c>
      <c r="G61" s="4">
        <f t="shared" si="1"/>
        <v>811</v>
      </c>
      <c r="H61" s="4">
        <f t="shared" si="2"/>
        <v>195.6</v>
      </c>
      <c r="I61" s="5">
        <f t="shared" si="3"/>
        <v>381.4822407</v>
      </c>
      <c r="J61" s="5">
        <f t="shared" si="4"/>
        <v>2.303956044</v>
      </c>
      <c r="K61" s="1" t="s">
        <v>17</v>
      </c>
      <c r="L61" s="6">
        <f t="shared" si="5"/>
        <v>0.9630952381</v>
      </c>
    </row>
    <row r="62" ht="15.75" customHeight="1">
      <c r="A62" s="3">
        <v>1.0</v>
      </c>
      <c r="B62" s="13" t="s">
        <v>22</v>
      </c>
      <c r="C62" s="3">
        <v>29.0</v>
      </c>
      <c r="D62" s="3" t="s">
        <v>20</v>
      </c>
      <c r="E62" s="3">
        <v>1.0</v>
      </c>
      <c r="F62" s="1">
        <v>2000.0</v>
      </c>
      <c r="G62" s="4">
        <f t="shared" si="1"/>
        <v>48</v>
      </c>
      <c r="H62" s="4">
        <f t="shared" si="2"/>
        <v>42</v>
      </c>
      <c r="I62" s="5">
        <f t="shared" si="3"/>
        <v>9.617692031</v>
      </c>
      <c r="J62" s="5">
        <f t="shared" si="4"/>
        <v>1.611721612</v>
      </c>
      <c r="K62" s="1" t="s">
        <v>15</v>
      </c>
      <c r="L62" s="6">
        <f t="shared" si="5"/>
        <v>0.05476190476</v>
      </c>
    </row>
    <row r="63" ht="15.75" customHeight="1">
      <c r="A63" s="3">
        <v>2.0</v>
      </c>
      <c r="B63" s="13" t="s">
        <v>22</v>
      </c>
      <c r="C63" s="3">
        <v>29.0</v>
      </c>
      <c r="D63" s="3" t="s">
        <v>20</v>
      </c>
      <c r="E63" s="3">
        <v>2.0</v>
      </c>
      <c r="F63" s="1">
        <v>2010.0</v>
      </c>
      <c r="G63" s="4">
        <f t="shared" si="1"/>
        <v>38</v>
      </c>
      <c r="H63" s="4">
        <f t="shared" si="2"/>
        <v>62.8</v>
      </c>
      <c r="I63" s="5">
        <f t="shared" si="3"/>
        <v>86.55922828</v>
      </c>
      <c r="J63" s="5">
        <f t="shared" si="4"/>
        <v>1.61978022</v>
      </c>
      <c r="K63" s="1" t="s">
        <v>15</v>
      </c>
      <c r="L63" s="6">
        <f t="shared" si="5"/>
        <v>0.04285714286</v>
      </c>
    </row>
    <row r="64" ht="15.75" customHeight="1">
      <c r="A64" s="3">
        <v>3.0</v>
      </c>
      <c r="B64" s="13" t="s">
        <v>22</v>
      </c>
      <c r="C64" s="3">
        <v>29.0</v>
      </c>
      <c r="D64" s="3" t="s">
        <v>20</v>
      </c>
      <c r="E64" s="3">
        <v>3.0</v>
      </c>
      <c r="F64" s="1">
        <v>1995.0</v>
      </c>
      <c r="G64" s="4">
        <f t="shared" si="1"/>
        <v>53</v>
      </c>
      <c r="H64" s="4">
        <f t="shared" si="2"/>
        <v>95.6</v>
      </c>
      <c r="I64" s="5">
        <f t="shared" si="3"/>
        <v>121.2126231</v>
      </c>
      <c r="J64" s="5">
        <f t="shared" si="4"/>
        <v>1.607692308</v>
      </c>
      <c r="K64" s="1" t="s">
        <v>15</v>
      </c>
      <c r="L64" s="6">
        <f t="shared" si="5"/>
        <v>0.06071428571</v>
      </c>
    </row>
    <row r="65" ht="15.75" customHeight="1">
      <c r="A65" s="3">
        <v>4.0</v>
      </c>
      <c r="B65" s="13" t="s">
        <v>22</v>
      </c>
      <c r="C65" s="3">
        <v>29.0</v>
      </c>
      <c r="D65" s="3" t="s">
        <v>20</v>
      </c>
      <c r="E65" s="3">
        <v>4.0</v>
      </c>
      <c r="F65" s="1">
        <v>2020.0</v>
      </c>
      <c r="G65" s="4">
        <f t="shared" si="1"/>
        <v>28</v>
      </c>
      <c r="H65" s="4">
        <f t="shared" si="2"/>
        <v>120.4</v>
      </c>
      <c r="I65" s="5">
        <f t="shared" si="3"/>
        <v>117.8452375</v>
      </c>
      <c r="J65" s="5">
        <f t="shared" si="4"/>
        <v>1.627838828</v>
      </c>
      <c r="K65" s="1" t="s">
        <v>15</v>
      </c>
      <c r="L65" s="6">
        <f t="shared" si="5"/>
        <v>0.03095238095</v>
      </c>
    </row>
    <row r="66" ht="15.75" customHeight="1">
      <c r="A66" s="3">
        <v>5.0</v>
      </c>
      <c r="B66" s="13" t="s">
        <v>22</v>
      </c>
      <c r="C66" s="3">
        <v>29.0</v>
      </c>
      <c r="D66" s="3" t="s">
        <v>20</v>
      </c>
      <c r="E66" s="3">
        <v>5.0</v>
      </c>
      <c r="F66" s="1">
        <v>2005.0</v>
      </c>
      <c r="G66" s="4">
        <f t="shared" si="1"/>
        <v>43</v>
      </c>
      <c r="H66" s="4">
        <f t="shared" si="2"/>
        <v>147.2</v>
      </c>
      <c r="I66" s="5">
        <f t="shared" si="3"/>
        <v>98.52664614</v>
      </c>
      <c r="J66" s="5">
        <f t="shared" si="4"/>
        <v>1.615750916</v>
      </c>
      <c r="K66" s="1" t="s">
        <v>15</v>
      </c>
      <c r="L66" s="6">
        <f t="shared" si="5"/>
        <v>0.04880952381</v>
      </c>
    </row>
    <row r="67" ht="15.75" customHeight="1">
      <c r="A67" s="3">
        <v>6.0</v>
      </c>
      <c r="B67" s="13" t="s">
        <v>22</v>
      </c>
      <c r="C67" s="3">
        <v>29.0</v>
      </c>
      <c r="D67" s="3" t="s">
        <v>20</v>
      </c>
      <c r="E67" s="3">
        <v>6.0</v>
      </c>
      <c r="F67" s="1">
        <v>2200.0</v>
      </c>
      <c r="G67" s="4">
        <f t="shared" si="1"/>
        <v>152</v>
      </c>
      <c r="H67" s="4">
        <f t="shared" si="2"/>
        <v>176</v>
      </c>
      <c r="I67" s="5">
        <f t="shared" si="3"/>
        <v>19.81161276</v>
      </c>
      <c r="J67" s="5">
        <f t="shared" si="4"/>
        <v>1.772893773</v>
      </c>
      <c r="K67" s="1" t="s">
        <v>16</v>
      </c>
      <c r="L67" s="6">
        <f t="shared" si="5"/>
        <v>0.1785714286</v>
      </c>
    </row>
    <row r="68" ht="15.75" customHeight="1">
      <c r="A68" s="3">
        <v>7.0</v>
      </c>
      <c r="B68" s="13" t="s">
        <v>22</v>
      </c>
      <c r="C68" s="3">
        <v>29.0</v>
      </c>
      <c r="D68" s="3" t="s">
        <v>20</v>
      </c>
      <c r="E68" s="3">
        <v>7.0</v>
      </c>
      <c r="F68" s="1">
        <v>2250.0</v>
      </c>
      <c r="G68" s="4">
        <f t="shared" si="1"/>
        <v>202</v>
      </c>
      <c r="H68" s="4">
        <f t="shared" si="2"/>
        <v>236</v>
      </c>
      <c r="I68" s="5">
        <f t="shared" si="3"/>
        <v>121.6244219</v>
      </c>
      <c r="J68" s="5">
        <f t="shared" si="4"/>
        <v>1.813186813</v>
      </c>
      <c r="K68" s="1" t="s">
        <v>16</v>
      </c>
      <c r="L68" s="6">
        <f t="shared" si="5"/>
        <v>0.2380952381</v>
      </c>
    </row>
    <row r="69" ht="15.75" customHeight="1">
      <c r="A69" s="3">
        <v>8.0</v>
      </c>
      <c r="B69" s="13" t="s">
        <v>22</v>
      </c>
      <c r="C69" s="3">
        <v>29.0</v>
      </c>
      <c r="D69" s="3" t="s">
        <v>20</v>
      </c>
      <c r="E69" s="3">
        <v>8.0</v>
      </c>
      <c r="F69" s="1">
        <v>2225.0</v>
      </c>
      <c r="G69" s="4">
        <f t="shared" si="1"/>
        <v>177</v>
      </c>
      <c r="H69" s="4">
        <f t="shared" si="2"/>
        <v>306</v>
      </c>
      <c r="I69" s="5">
        <f t="shared" si="3"/>
        <v>182.5992881</v>
      </c>
      <c r="J69" s="5">
        <f t="shared" si="4"/>
        <v>1.793040293</v>
      </c>
      <c r="K69" s="1" t="s">
        <v>16</v>
      </c>
      <c r="L69" s="6">
        <f t="shared" si="5"/>
        <v>0.2083333333</v>
      </c>
    </row>
    <row r="70" ht="15.75" customHeight="1">
      <c r="A70" s="3">
        <v>9.0</v>
      </c>
      <c r="B70" s="13" t="s">
        <v>22</v>
      </c>
      <c r="C70" s="3">
        <v>29.0</v>
      </c>
      <c r="D70" s="3" t="s">
        <v>20</v>
      </c>
      <c r="E70" s="3">
        <v>9.0</v>
      </c>
      <c r="F70" s="1">
        <v>2210.0</v>
      </c>
      <c r="G70" s="4">
        <f t="shared" si="1"/>
        <v>162</v>
      </c>
      <c r="H70" s="4">
        <f t="shared" si="2"/>
        <v>371</v>
      </c>
      <c r="I70" s="5">
        <f t="shared" si="3"/>
        <v>183.0437106</v>
      </c>
      <c r="J70" s="5">
        <f t="shared" si="4"/>
        <v>1.780952381</v>
      </c>
      <c r="K70" s="1" t="s">
        <v>16</v>
      </c>
      <c r="L70" s="6">
        <f t="shared" si="5"/>
        <v>0.1904761905</v>
      </c>
    </row>
    <row r="71" ht="15.75" customHeight="1">
      <c r="A71" s="3">
        <v>10.0</v>
      </c>
      <c r="B71" s="13" t="s">
        <v>22</v>
      </c>
      <c r="C71" s="3">
        <v>29.0</v>
      </c>
      <c r="D71" s="3" t="s">
        <v>20</v>
      </c>
      <c r="E71" s="3">
        <v>10.0</v>
      </c>
      <c r="F71" s="1">
        <v>2235.0</v>
      </c>
      <c r="G71" s="4">
        <f t="shared" si="1"/>
        <v>187</v>
      </c>
      <c r="H71" s="4">
        <f t="shared" si="2"/>
        <v>445</v>
      </c>
      <c r="I71" s="5">
        <f t="shared" si="3"/>
        <v>149.0637448</v>
      </c>
      <c r="J71" s="5">
        <f t="shared" si="4"/>
        <v>1.801098901</v>
      </c>
      <c r="K71" s="1" t="s">
        <v>16</v>
      </c>
      <c r="L71" s="6">
        <f t="shared" si="5"/>
        <v>0.2202380952</v>
      </c>
    </row>
    <row r="72" ht="15.75" customHeight="1">
      <c r="A72" s="3">
        <v>11.0</v>
      </c>
      <c r="B72" s="13" t="s">
        <v>22</v>
      </c>
      <c r="C72" s="3">
        <v>29.0</v>
      </c>
      <c r="D72" s="3" t="s">
        <v>20</v>
      </c>
      <c r="E72" s="3">
        <v>11.0</v>
      </c>
      <c r="F72" s="1">
        <v>2500.0</v>
      </c>
      <c r="G72" s="4">
        <f t="shared" si="1"/>
        <v>452</v>
      </c>
      <c r="H72" s="4">
        <f t="shared" si="2"/>
        <v>522</v>
      </c>
      <c r="I72" s="5">
        <f t="shared" si="3"/>
        <v>46.9041576</v>
      </c>
      <c r="J72" s="5">
        <f t="shared" si="4"/>
        <v>2.014652015</v>
      </c>
      <c r="K72" s="1" t="s">
        <v>17</v>
      </c>
      <c r="L72" s="6">
        <f t="shared" si="5"/>
        <v>0.5357142857</v>
      </c>
    </row>
    <row r="73" ht="15.75" customHeight="1">
      <c r="A73" s="3">
        <v>12.0</v>
      </c>
      <c r="B73" s="13" t="s">
        <v>22</v>
      </c>
      <c r="C73" s="3">
        <v>29.0</v>
      </c>
      <c r="D73" s="3" t="s">
        <v>20</v>
      </c>
      <c r="E73" s="3">
        <v>12.0</v>
      </c>
      <c r="F73" s="1">
        <v>2600.0</v>
      </c>
      <c r="G73" s="4">
        <f t="shared" si="1"/>
        <v>552</v>
      </c>
      <c r="H73" s="4">
        <f t="shared" si="2"/>
        <v>445.2</v>
      </c>
      <c r="I73" s="5">
        <f t="shared" si="3"/>
        <v>272.9102417</v>
      </c>
      <c r="J73" s="5">
        <f t="shared" si="4"/>
        <v>2.095238095</v>
      </c>
      <c r="K73" s="1" t="s">
        <v>17</v>
      </c>
      <c r="L73" s="6">
        <f t="shared" si="5"/>
        <v>0.6547619048</v>
      </c>
    </row>
    <row r="74" ht="15.75" customHeight="1">
      <c r="A74" s="3">
        <v>13.0</v>
      </c>
      <c r="B74" s="13" t="s">
        <v>22</v>
      </c>
      <c r="C74" s="3">
        <v>29.0</v>
      </c>
      <c r="D74" s="3" t="s">
        <v>20</v>
      </c>
      <c r="E74" s="3">
        <v>13.0</v>
      </c>
      <c r="F74" s="1">
        <v>2550.0</v>
      </c>
      <c r="G74" s="4">
        <f t="shared" si="1"/>
        <v>502</v>
      </c>
      <c r="H74" s="4">
        <f t="shared" si="2"/>
        <v>349.4</v>
      </c>
      <c r="I74" s="5">
        <f t="shared" si="3"/>
        <v>332.7611756</v>
      </c>
      <c r="J74" s="5">
        <f t="shared" si="4"/>
        <v>2.054945055</v>
      </c>
      <c r="K74" s="1" t="s">
        <v>17</v>
      </c>
      <c r="L74" s="6">
        <f t="shared" si="5"/>
        <v>0.5952380952</v>
      </c>
    </row>
    <row r="75" ht="15.75" customHeight="1">
      <c r="A75" s="3">
        <v>14.0</v>
      </c>
      <c r="B75" s="13" t="s">
        <v>22</v>
      </c>
      <c r="C75" s="3">
        <v>29.0</v>
      </c>
      <c r="D75" s="3" t="s">
        <v>20</v>
      </c>
      <c r="E75" s="3">
        <v>14.0</v>
      </c>
      <c r="F75" s="1">
        <v>2580.0</v>
      </c>
      <c r="G75" s="4">
        <f t="shared" si="1"/>
        <v>532</v>
      </c>
      <c r="H75" s="4">
        <f t="shared" si="2"/>
        <v>260.6</v>
      </c>
      <c r="I75" s="5">
        <f t="shared" si="3"/>
        <v>339.0132741</v>
      </c>
      <c r="J75" s="5">
        <f t="shared" si="4"/>
        <v>2.079120879</v>
      </c>
      <c r="K75" s="1" t="s">
        <v>17</v>
      </c>
      <c r="L75" s="6">
        <f t="shared" si="5"/>
        <v>0.630952381</v>
      </c>
    </row>
    <row r="76" ht="15.75" customHeight="1">
      <c r="A76" s="3">
        <v>15.0</v>
      </c>
      <c r="B76" s="13" t="s">
        <v>22</v>
      </c>
      <c r="C76" s="3">
        <v>29.0</v>
      </c>
      <c r="D76" s="3" t="s">
        <v>20</v>
      </c>
      <c r="E76" s="3">
        <v>15.0</v>
      </c>
      <c r="F76" s="1">
        <v>2620.0</v>
      </c>
      <c r="G76" s="4">
        <f t="shared" si="1"/>
        <v>572</v>
      </c>
      <c r="H76" s="4">
        <f t="shared" si="2"/>
        <v>166.8</v>
      </c>
      <c r="I76" s="5">
        <f t="shared" si="3"/>
        <v>285.1534675</v>
      </c>
      <c r="J76" s="5">
        <f t="shared" si="4"/>
        <v>2.111355311</v>
      </c>
      <c r="K76" s="1" t="s">
        <v>17</v>
      </c>
      <c r="L76" s="6">
        <f t="shared" si="5"/>
        <v>0.6785714286</v>
      </c>
    </row>
    <row r="77" ht="15.75" customHeight="1">
      <c r="A77" s="3">
        <v>1.0</v>
      </c>
      <c r="B77" s="1" t="s">
        <v>23</v>
      </c>
      <c r="C77" s="3">
        <v>25.0</v>
      </c>
      <c r="D77" s="3" t="s">
        <v>20</v>
      </c>
      <c r="E77" s="8">
        <v>1.0</v>
      </c>
      <c r="F77" s="1">
        <v>1980.0</v>
      </c>
      <c r="G77" s="4">
        <f t="shared" si="1"/>
        <v>68</v>
      </c>
      <c r="H77" s="4">
        <f t="shared" si="2"/>
        <v>62</v>
      </c>
      <c r="I77" s="5">
        <f t="shared" si="3"/>
        <v>9.617692031</v>
      </c>
      <c r="J77" s="5">
        <f t="shared" si="4"/>
        <v>1.595604396</v>
      </c>
      <c r="K77" s="1" t="s">
        <v>15</v>
      </c>
      <c r="L77" s="6">
        <f t="shared" si="5"/>
        <v>0.07857142857</v>
      </c>
    </row>
    <row r="78" ht="15.75" customHeight="1">
      <c r="A78" s="3">
        <v>2.0</v>
      </c>
      <c r="B78" s="1" t="s">
        <v>23</v>
      </c>
      <c r="C78" s="3">
        <v>25.0</v>
      </c>
      <c r="D78" s="3" t="s">
        <v>20</v>
      </c>
      <c r="E78" s="8">
        <v>2.0</v>
      </c>
      <c r="F78" s="1">
        <v>1975.0</v>
      </c>
      <c r="G78" s="4">
        <f t="shared" si="1"/>
        <v>73</v>
      </c>
      <c r="H78" s="4">
        <f t="shared" si="2"/>
        <v>68.8</v>
      </c>
      <c r="I78" s="5">
        <f t="shared" si="3"/>
        <v>73.22909258</v>
      </c>
      <c r="J78" s="5">
        <f t="shared" si="4"/>
        <v>1.591575092</v>
      </c>
      <c r="K78" s="1" t="s">
        <v>15</v>
      </c>
      <c r="L78" s="6">
        <f t="shared" si="5"/>
        <v>0.08452380952</v>
      </c>
    </row>
    <row r="79" ht="15.75" customHeight="1">
      <c r="A79" s="3">
        <v>3.0</v>
      </c>
      <c r="B79" s="1" t="s">
        <v>23</v>
      </c>
      <c r="C79" s="3">
        <v>25.0</v>
      </c>
      <c r="D79" s="3" t="s">
        <v>20</v>
      </c>
      <c r="E79" s="8">
        <v>3.0</v>
      </c>
      <c r="F79" s="1">
        <v>1990.0</v>
      </c>
      <c r="G79" s="4">
        <f t="shared" si="1"/>
        <v>58</v>
      </c>
      <c r="H79" s="4">
        <f t="shared" si="2"/>
        <v>80.6</v>
      </c>
      <c r="I79" s="5">
        <f t="shared" si="3"/>
        <v>95.6817642</v>
      </c>
      <c r="J79" s="5">
        <f t="shared" si="4"/>
        <v>1.603663004</v>
      </c>
      <c r="K79" s="1" t="s">
        <v>15</v>
      </c>
      <c r="L79" s="6">
        <f t="shared" si="5"/>
        <v>0.06666666667</v>
      </c>
    </row>
    <row r="80" ht="15.75" customHeight="1">
      <c r="A80" s="3">
        <v>4.0</v>
      </c>
      <c r="B80" s="1" t="s">
        <v>23</v>
      </c>
      <c r="C80" s="3">
        <v>25.0</v>
      </c>
      <c r="D80" s="3" t="s">
        <v>20</v>
      </c>
      <c r="E80" s="8">
        <v>4.0</v>
      </c>
      <c r="F80" s="1">
        <v>1985.0</v>
      </c>
      <c r="G80" s="4">
        <f t="shared" si="1"/>
        <v>63</v>
      </c>
      <c r="H80" s="4">
        <f t="shared" si="2"/>
        <v>99.4</v>
      </c>
      <c r="I80" s="5">
        <f t="shared" si="3"/>
        <v>102.5670512</v>
      </c>
      <c r="J80" s="5">
        <f t="shared" si="4"/>
        <v>1.5996337</v>
      </c>
      <c r="K80" s="1" t="s">
        <v>15</v>
      </c>
      <c r="L80" s="6">
        <f t="shared" si="5"/>
        <v>0.07261904762</v>
      </c>
    </row>
    <row r="81" ht="15.75" customHeight="1">
      <c r="A81" s="3">
        <v>5.0</v>
      </c>
      <c r="B81" s="1" t="s">
        <v>23</v>
      </c>
      <c r="C81" s="3">
        <v>25.0</v>
      </c>
      <c r="D81" s="3" t="s">
        <v>20</v>
      </c>
      <c r="E81" s="8">
        <v>5.0</v>
      </c>
      <c r="F81" s="1">
        <v>2000.0</v>
      </c>
      <c r="G81" s="4">
        <f t="shared" si="1"/>
        <v>48</v>
      </c>
      <c r="H81" s="4">
        <f t="shared" si="2"/>
        <v>112.2</v>
      </c>
      <c r="I81" s="5">
        <f t="shared" si="3"/>
        <v>80.8084154</v>
      </c>
      <c r="J81" s="5">
        <f t="shared" si="4"/>
        <v>1.611721612</v>
      </c>
      <c r="K81" s="1" t="s">
        <v>15</v>
      </c>
      <c r="L81" s="6">
        <f t="shared" si="5"/>
        <v>0.05476190476</v>
      </c>
    </row>
    <row r="82" ht="15.75" customHeight="1">
      <c r="A82" s="3">
        <v>6.0</v>
      </c>
      <c r="B82" s="1" t="s">
        <v>23</v>
      </c>
      <c r="C82" s="3">
        <v>25.0</v>
      </c>
      <c r="D82" s="3" t="s">
        <v>20</v>
      </c>
      <c r="E82" s="8">
        <v>6.0</v>
      </c>
      <c r="F82" s="1">
        <v>2150.0</v>
      </c>
      <c r="G82" s="4">
        <f t="shared" si="1"/>
        <v>102</v>
      </c>
      <c r="H82" s="4">
        <f t="shared" si="2"/>
        <v>132</v>
      </c>
      <c r="I82" s="5">
        <f t="shared" si="3"/>
        <v>19.68501969</v>
      </c>
      <c r="J82" s="5">
        <f t="shared" si="4"/>
        <v>1.732600733</v>
      </c>
      <c r="K82" s="1" t="s">
        <v>16</v>
      </c>
      <c r="L82" s="6">
        <f t="shared" si="5"/>
        <v>0.119047619</v>
      </c>
    </row>
    <row r="83" ht="15.75" customHeight="1">
      <c r="A83" s="3">
        <v>7.0</v>
      </c>
      <c r="B83" s="1" t="s">
        <v>23</v>
      </c>
      <c r="C83" s="3">
        <v>25.0</v>
      </c>
      <c r="D83" s="3" t="s">
        <v>20</v>
      </c>
      <c r="E83" s="8">
        <v>7.0</v>
      </c>
      <c r="F83" s="1">
        <v>2180.0</v>
      </c>
      <c r="G83" s="4">
        <f t="shared" si="1"/>
        <v>132</v>
      </c>
      <c r="H83" s="4">
        <f t="shared" si="2"/>
        <v>192</v>
      </c>
      <c r="I83" s="5">
        <f t="shared" si="3"/>
        <v>117.8452375</v>
      </c>
      <c r="J83" s="5">
        <f t="shared" si="4"/>
        <v>1.756776557</v>
      </c>
      <c r="K83" s="1" t="s">
        <v>16</v>
      </c>
      <c r="L83" s="6">
        <f t="shared" si="5"/>
        <v>0.1547619048</v>
      </c>
    </row>
    <row r="84" ht="15.75" customHeight="1">
      <c r="A84" s="3">
        <v>8.0</v>
      </c>
      <c r="B84" s="1" t="s">
        <v>23</v>
      </c>
      <c r="C84" s="3">
        <v>25.0</v>
      </c>
      <c r="D84" s="3" t="s">
        <v>20</v>
      </c>
      <c r="E84" s="8">
        <v>8.0</v>
      </c>
      <c r="F84" s="1">
        <v>2200.0</v>
      </c>
      <c r="G84" s="4">
        <f t="shared" si="1"/>
        <v>152</v>
      </c>
      <c r="H84" s="4">
        <f t="shared" si="2"/>
        <v>256</v>
      </c>
      <c r="I84" s="5">
        <f t="shared" si="3"/>
        <v>157.376936</v>
      </c>
      <c r="J84" s="5">
        <f t="shared" si="4"/>
        <v>1.772893773</v>
      </c>
      <c r="K84" s="1" t="s">
        <v>16</v>
      </c>
      <c r="L84" s="6">
        <f t="shared" si="5"/>
        <v>0.1785714286</v>
      </c>
    </row>
    <row r="85" ht="15.75" customHeight="1">
      <c r="A85" s="3">
        <v>9.0</v>
      </c>
      <c r="B85" s="1" t="s">
        <v>23</v>
      </c>
      <c r="C85" s="3">
        <v>25.0</v>
      </c>
      <c r="D85" s="3" t="s">
        <v>20</v>
      </c>
      <c r="E85" s="8">
        <v>9.0</v>
      </c>
      <c r="F85" s="1">
        <v>2175.0</v>
      </c>
      <c r="G85" s="4">
        <f t="shared" si="1"/>
        <v>127</v>
      </c>
      <c r="H85" s="4">
        <f t="shared" si="2"/>
        <v>312</v>
      </c>
      <c r="I85" s="5">
        <f t="shared" si="3"/>
        <v>160.8959291</v>
      </c>
      <c r="J85" s="5">
        <f t="shared" si="4"/>
        <v>1.752747253</v>
      </c>
      <c r="K85" s="1" t="s">
        <v>16</v>
      </c>
      <c r="L85" s="6">
        <f t="shared" si="5"/>
        <v>0.1488095238</v>
      </c>
    </row>
    <row r="86" ht="15.75" customHeight="1">
      <c r="A86" s="3">
        <v>10.0</v>
      </c>
      <c r="B86" s="1" t="s">
        <v>23</v>
      </c>
      <c r="C86" s="3">
        <v>25.0</v>
      </c>
      <c r="D86" s="3" t="s">
        <v>20</v>
      </c>
      <c r="E86" s="8">
        <v>10.0</v>
      </c>
      <c r="F86" s="1">
        <v>2195.0</v>
      </c>
      <c r="G86" s="4">
        <f t="shared" si="1"/>
        <v>147</v>
      </c>
      <c r="H86" s="4">
        <f t="shared" si="2"/>
        <v>381</v>
      </c>
      <c r="I86" s="5">
        <f t="shared" si="3"/>
        <v>133.3416664</v>
      </c>
      <c r="J86" s="5">
        <f t="shared" si="4"/>
        <v>1.768864469</v>
      </c>
      <c r="K86" s="1" t="s">
        <v>16</v>
      </c>
      <c r="L86" s="6">
        <f t="shared" si="5"/>
        <v>0.1726190476</v>
      </c>
    </row>
    <row r="87" ht="15.75" customHeight="1">
      <c r="A87" s="3">
        <v>11.0</v>
      </c>
      <c r="B87" s="1" t="s">
        <v>23</v>
      </c>
      <c r="C87" s="3">
        <v>25.0</v>
      </c>
      <c r="D87" s="3" t="s">
        <v>20</v>
      </c>
      <c r="E87" s="8">
        <v>11.0</v>
      </c>
      <c r="F87" s="1">
        <v>2450.0</v>
      </c>
      <c r="G87" s="4">
        <f t="shared" si="1"/>
        <v>402</v>
      </c>
      <c r="H87" s="4">
        <f t="shared" si="2"/>
        <v>440</v>
      </c>
      <c r="I87" s="5">
        <f t="shared" si="3"/>
        <v>25.88435821</v>
      </c>
      <c r="J87" s="5">
        <f t="shared" si="4"/>
        <v>1.974358974</v>
      </c>
      <c r="K87" s="1" t="s">
        <v>17</v>
      </c>
      <c r="L87" s="6">
        <f t="shared" si="5"/>
        <v>0.4761904762</v>
      </c>
    </row>
    <row r="88" ht="15.75" customHeight="1">
      <c r="A88" s="3">
        <v>12.0</v>
      </c>
      <c r="B88" s="1" t="s">
        <v>23</v>
      </c>
      <c r="C88" s="3">
        <v>25.0</v>
      </c>
      <c r="D88" s="3" t="s">
        <v>20</v>
      </c>
      <c r="E88" s="8">
        <v>12.0</v>
      </c>
      <c r="F88" s="1">
        <v>2500.0</v>
      </c>
      <c r="G88" s="4">
        <f t="shared" si="1"/>
        <v>452</v>
      </c>
      <c r="H88" s="4">
        <f t="shared" si="2"/>
        <v>364.2</v>
      </c>
      <c r="I88" s="5">
        <f t="shared" si="3"/>
        <v>211.8253998</v>
      </c>
      <c r="J88" s="5">
        <f t="shared" si="4"/>
        <v>2.014652015</v>
      </c>
      <c r="K88" s="1" t="s">
        <v>17</v>
      </c>
      <c r="L88" s="6">
        <f t="shared" si="5"/>
        <v>0.5357142857</v>
      </c>
    </row>
    <row r="89" ht="15.75" customHeight="1">
      <c r="A89" s="3">
        <v>13.0</v>
      </c>
      <c r="B89" s="1" t="s">
        <v>23</v>
      </c>
      <c r="C89" s="3">
        <v>25.0</v>
      </c>
      <c r="D89" s="3" t="s">
        <v>20</v>
      </c>
      <c r="E89" s="8">
        <v>13.0</v>
      </c>
      <c r="F89" s="1">
        <v>2480.0</v>
      </c>
      <c r="G89" s="4">
        <f t="shared" si="1"/>
        <v>432</v>
      </c>
      <c r="H89" s="4">
        <f t="shared" si="2"/>
        <v>277.4</v>
      </c>
      <c r="I89" s="5">
        <f t="shared" si="3"/>
        <v>257.4004662</v>
      </c>
      <c r="J89" s="5">
        <f t="shared" si="4"/>
        <v>1.998534799</v>
      </c>
      <c r="K89" s="1" t="s">
        <v>17</v>
      </c>
      <c r="L89" s="6">
        <f t="shared" si="5"/>
        <v>0.5119047619</v>
      </c>
    </row>
    <row r="90" ht="15.75" customHeight="1">
      <c r="A90" s="3">
        <v>14.0</v>
      </c>
      <c r="B90" s="1" t="s">
        <v>23</v>
      </c>
      <c r="C90" s="3">
        <v>25.0</v>
      </c>
      <c r="D90" s="3" t="s">
        <v>20</v>
      </c>
      <c r="E90" s="8">
        <v>14.0</v>
      </c>
      <c r="F90" s="1">
        <v>2520.0</v>
      </c>
      <c r="G90" s="4">
        <f t="shared" si="1"/>
        <v>472</v>
      </c>
      <c r="H90" s="4">
        <f t="shared" si="2"/>
        <v>197.6</v>
      </c>
      <c r="I90" s="5">
        <f t="shared" si="3"/>
        <v>264.0880535</v>
      </c>
      <c r="J90" s="5">
        <f t="shared" si="4"/>
        <v>2.030769231</v>
      </c>
      <c r="K90" s="1" t="s">
        <v>17</v>
      </c>
      <c r="L90" s="6">
        <f t="shared" si="5"/>
        <v>0.5595238095</v>
      </c>
    </row>
    <row r="91" ht="15.75" customHeight="1">
      <c r="A91" s="3">
        <v>15.0</v>
      </c>
      <c r="B91" s="1" t="s">
        <v>23</v>
      </c>
      <c r="C91" s="3">
        <v>25.0</v>
      </c>
      <c r="D91" s="3" t="s">
        <v>20</v>
      </c>
      <c r="E91" s="8">
        <v>15.0</v>
      </c>
      <c r="F91" s="1">
        <v>2490.0</v>
      </c>
      <c r="G91" s="4">
        <f t="shared" si="1"/>
        <v>442</v>
      </c>
      <c r="H91" s="4">
        <f t="shared" si="2"/>
        <v>108.8</v>
      </c>
      <c r="I91" s="5">
        <f t="shared" si="3"/>
        <v>209.1470774</v>
      </c>
      <c r="J91" s="5">
        <f t="shared" si="4"/>
        <v>2.006593407</v>
      </c>
      <c r="K91" s="1" t="s">
        <v>17</v>
      </c>
      <c r="L91" s="6">
        <f t="shared" si="5"/>
        <v>0.5238095238</v>
      </c>
    </row>
    <row r="92" ht="15.75" customHeight="1">
      <c r="A92" s="3">
        <v>1.0</v>
      </c>
      <c r="B92" s="13" t="s">
        <v>24</v>
      </c>
      <c r="C92" s="3">
        <v>35.0</v>
      </c>
      <c r="D92" s="3" t="s">
        <v>14</v>
      </c>
      <c r="E92" s="8">
        <v>1.0</v>
      </c>
      <c r="F92" s="1">
        <v>2025.0</v>
      </c>
      <c r="G92" s="4">
        <f t="shared" si="1"/>
        <v>23</v>
      </c>
      <c r="H92" s="4">
        <f t="shared" si="2"/>
        <v>22</v>
      </c>
      <c r="I92" s="5">
        <f t="shared" si="3"/>
        <v>9.617692031</v>
      </c>
      <c r="J92" s="5">
        <f t="shared" si="4"/>
        <v>1.631868132</v>
      </c>
      <c r="K92" s="1" t="s">
        <v>15</v>
      </c>
      <c r="L92" s="6">
        <f t="shared" si="5"/>
        <v>0.025</v>
      </c>
    </row>
    <row r="93" ht="15.75" customHeight="1">
      <c r="A93" s="3">
        <v>2.0</v>
      </c>
      <c r="B93" s="13" t="s">
        <v>24</v>
      </c>
      <c r="C93" s="3">
        <v>35.0</v>
      </c>
      <c r="D93" s="3" t="s">
        <v>14</v>
      </c>
      <c r="E93" s="8">
        <v>2.0</v>
      </c>
      <c r="F93" s="1">
        <v>2030.0</v>
      </c>
      <c r="G93" s="4">
        <f t="shared" si="1"/>
        <v>18</v>
      </c>
      <c r="H93" s="4">
        <f t="shared" si="2"/>
        <v>57.8</v>
      </c>
      <c r="I93" s="5">
        <f t="shared" si="3"/>
        <v>100.5236291</v>
      </c>
      <c r="J93" s="5">
        <f t="shared" si="4"/>
        <v>1.635897436</v>
      </c>
      <c r="K93" s="1" t="s">
        <v>15</v>
      </c>
      <c r="L93" s="6">
        <f t="shared" si="5"/>
        <v>0.01904761905</v>
      </c>
    </row>
    <row r="94" ht="15.75" customHeight="1">
      <c r="A94" s="3">
        <v>3.0</v>
      </c>
      <c r="B94" s="13" t="s">
        <v>24</v>
      </c>
      <c r="C94" s="3">
        <v>35.0</v>
      </c>
      <c r="D94" s="3" t="s">
        <v>14</v>
      </c>
      <c r="E94" s="8">
        <v>3.0</v>
      </c>
      <c r="F94" s="1">
        <v>2015.0</v>
      </c>
      <c r="G94" s="4">
        <f t="shared" si="1"/>
        <v>33</v>
      </c>
      <c r="H94" s="4">
        <f t="shared" si="2"/>
        <v>99.6</v>
      </c>
      <c r="I94" s="5">
        <f t="shared" si="3"/>
        <v>130.7191646</v>
      </c>
      <c r="J94" s="5">
        <f t="shared" si="4"/>
        <v>1.623809524</v>
      </c>
      <c r="K94" s="1" t="s">
        <v>15</v>
      </c>
      <c r="L94" s="6">
        <f t="shared" si="5"/>
        <v>0.0369047619</v>
      </c>
    </row>
    <row r="95" ht="15.75" customHeight="1">
      <c r="A95" s="3">
        <v>4.0</v>
      </c>
      <c r="B95" s="13" t="s">
        <v>24</v>
      </c>
      <c r="C95" s="3">
        <v>35.0</v>
      </c>
      <c r="D95" s="3" t="s">
        <v>14</v>
      </c>
      <c r="E95" s="8">
        <v>4.0</v>
      </c>
      <c r="F95" s="1">
        <v>2020.0</v>
      </c>
      <c r="G95" s="4">
        <f t="shared" si="1"/>
        <v>28</v>
      </c>
      <c r="H95" s="4">
        <f t="shared" si="2"/>
        <v>143.4</v>
      </c>
      <c r="I95" s="5">
        <f t="shared" si="3"/>
        <v>135.5359731</v>
      </c>
      <c r="J95" s="5">
        <f t="shared" si="4"/>
        <v>1.627838828</v>
      </c>
      <c r="K95" s="1" t="s">
        <v>15</v>
      </c>
      <c r="L95" s="6">
        <f t="shared" si="5"/>
        <v>0.03095238095</v>
      </c>
    </row>
    <row r="96" ht="15.75" customHeight="1">
      <c r="A96" s="3">
        <v>5.0</v>
      </c>
      <c r="B96" s="13" t="s">
        <v>24</v>
      </c>
      <c r="C96" s="3">
        <v>35.0</v>
      </c>
      <c r="D96" s="3" t="s">
        <v>14</v>
      </c>
      <c r="E96" s="8">
        <v>5.0</v>
      </c>
      <c r="F96" s="1">
        <v>2040.0</v>
      </c>
      <c r="G96" s="4">
        <f t="shared" si="1"/>
        <v>8</v>
      </c>
      <c r="H96" s="4">
        <f t="shared" si="2"/>
        <v>184.2</v>
      </c>
      <c r="I96" s="5">
        <f t="shared" si="3"/>
        <v>107.1447619</v>
      </c>
      <c r="J96" s="5">
        <f t="shared" si="4"/>
        <v>1.643956044</v>
      </c>
      <c r="K96" s="1" t="s">
        <v>15</v>
      </c>
      <c r="L96" s="6">
        <f t="shared" si="5"/>
        <v>0.007142857143</v>
      </c>
    </row>
    <row r="97" ht="15.75" customHeight="1">
      <c r="A97" s="3">
        <v>6.0</v>
      </c>
      <c r="B97" s="13" t="s">
        <v>24</v>
      </c>
      <c r="C97" s="3">
        <v>35.0</v>
      </c>
      <c r="D97" s="3" t="s">
        <v>14</v>
      </c>
      <c r="E97" s="8">
        <v>6.0</v>
      </c>
      <c r="F97" s="1">
        <v>2250.0</v>
      </c>
      <c r="G97" s="4">
        <f t="shared" si="1"/>
        <v>202</v>
      </c>
      <c r="H97" s="4">
        <f t="shared" si="2"/>
        <v>231</v>
      </c>
      <c r="I97" s="5">
        <f t="shared" si="3"/>
        <v>18.84144368</v>
      </c>
      <c r="J97" s="5">
        <f t="shared" si="4"/>
        <v>1.813186813</v>
      </c>
      <c r="K97" s="1" t="s">
        <v>16</v>
      </c>
      <c r="L97" s="6">
        <f t="shared" si="5"/>
        <v>0.2380952381</v>
      </c>
    </row>
    <row r="98" ht="15.75" customHeight="1">
      <c r="A98" s="3">
        <v>7.0</v>
      </c>
      <c r="B98" s="13" t="s">
        <v>24</v>
      </c>
      <c r="C98" s="3">
        <v>35.0</v>
      </c>
      <c r="D98" s="3" t="s">
        <v>14</v>
      </c>
      <c r="E98" s="8">
        <v>7.0</v>
      </c>
      <c r="F98" s="1">
        <v>2275.0</v>
      </c>
      <c r="G98" s="4">
        <f t="shared" si="1"/>
        <v>227</v>
      </c>
      <c r="H98" s="4">
        <f t="shared" si="2"/>
        <v>301</v>
      </c>
      <c r="I98" s="5">
        <f t="shared" si="3"/>
        <v>140.6413879</v>
      </c>
      <c r="J98" s="5">
        <f t="shared" si="4"/>
        <v>1.833333333</v>
      </c>
      <c r="K98" s="1" t="s">
        <v>16</v>
      </c>
      <c r="L98" s="6">
        <f t="shared" si="5"/>
        <v>0.2678571429</v>
      </c>
    </row>
    <row r="99" ht="15.75" customHeight="1">
      <c r="A99" s="3">
        <v>8.0</v>
      </c>
      <c r="B99" s="13" t="s">
        <v>24</v>
      </c>
      <c r="C99" s="3">
        <v>35.0</v>
      </c>
      <c r="D99" s="3" t="s">
        <v>14</v>
      </c>
      <c r="E99" s="8">
        <v>8.0</v>
      </c>
      <c r="F99" s="1">
        <v>2300.0</v>
      </c>
      <c r="G99" s="4">
        <f t="shared" si="1"/>
        <v>252</v>
      </c>
      <c r="H99" s="4">
        <f t="shared" si="2"/>
        <v>376</v>
      </c>
      <c r="I99" s="5">
        <f t="shared" si="3"/>
        <v>184.4722201</v>
      </c>
      <c r="J99" s="5">
        <f t="shared" si="4"/>
        <v>1.853479853</v>
      </c>
      <c r="K99" s="1" t="s">
        <v>16</v>
      </c>
      <c r="L99" s="6">
        <f t="shared" si="5"/>
        <v>0.2976190476</v>
      </c>
    </row>
    <row r="100" ht="15.75" customHeight="1">
      <c r="A100" s="3">
        <v>9.0</v>
      </c>
      <c r="B100" s="13" t="s">
        <v>24</v>
      </c>
      <c r="C100" s="3">
        <v>35.0</v>
      </c>
      <c r="D100" s="3" t="s">
        <v>14</v>
      </c>
      <c r="E100" s="8">
        <v>9.0</v>
      </c>
      <c r="F100" s="1">
        <v>2280.0</v>
      </c>
      <c r="G100" s="4">
        <f t="shared" si="1"/>
        <v>232</v>
      </c>
      <c r="H100" s="4">
        <f t="shared" si="2"/>
        <v>441</v>
      </c>
      <c r="I100" s="5">
        <f t="shared" si="3"/>
        <v>187.0962319</v>
      </c>
      <c r="J100" s="5">
        <f t="shared" si="4"/>
        <v>1.837362637</v>
      </c>
      <c r="K100" s="1" t="s">
        <v>16</v>
      </c>
      <c r="L100" s="6">
        <f t="shared" si="5"/>
        <v>0.2738095238</v>
      </c>
    </row>
    <row r="101" ht="15.75" customHeight="1">
      <c r="A101" s="3">
        <v>10.0</v>
      </c>
      <c r="B101" s="13" t="s">
        <v>24</v>
      </c>
      <c r="C101" s="3">
        <v>35.0</v>
      </c>
      <c r="D101" s="3" t="s">
        <v>14</v>
      </c>
      <c r="E101" s="8">
        <v>10.0</v>
      </c>
      <c r="F101" s="1">
        <v>2290.0</v>
      </c>
      <c r="G101" s="4">
        <f t="shared" si="1"/>
        <v>242</v>
      </c>
      <c r="H101" s="4">
        <f t="shared" si="2"/>
        <v>511</v>
      </c>
      <c r="I101" s="5">
        <f t="shared" si="3"/>
        <v>151.4265499</v>
      </c>
      <c r="J101" s="5">
        <f t="shared" si="4"/>
        <v>1.845421245</v>
      </c>
      <c r="K101" s="1" t="s">
        <v>16</v>
      </c>
      <c r="L101" s="6">
        <f t="shared" si="5"/>
        <v>0.2857142857</v>
      </c>
    </row>
    <row r="102" ht="15.75" customHeight="1">
      <c r="A102" s="3">
        <v>11.0</v>
      </c>
      <c r="B102" s="13" t="s">
        <v>24</v>
      </c>
      <c r="C102" s="3">
        <v>35.0</v>
      </c>
      <c r="D102" s="3" t="s">
        <v>14</v>
      </c>
      <c r="E102" s="8">
        <v>11.0</v>
      </c>
      <c r="F102" s="1">
        <v>2600.0</v>
      </c>
      <c r="G102" s="4">
        <f t="shared" si="1"/>
        <v>552</v>
      </c>
      <c r="H102" s="4">
        <f t="shared" si="2"/>
        <v>585</v>
      </c>
      <c r="I102" s="5">
        <f t="shared" si="3"/>
        <v>23.34523506</v>
      </c>
      <c r="J102" s="5">
        <f t="shared" si="4"/>
        <v>2.095238095</v>
      </c>
      <c r="K102" s="1" t="s">
        <v>17</v>
      </c>
      <c r="L102" s="6">
        <f t="shared" si="5"/>
        <v>0.6547619048</v>
      </c>
    </row>
    <row r="103" ht="15.75" customHeight="1">
      <c r="A103" s="3">
        <v>12.0</v>
      </c>
      <c r="B103" s="13" t="s">
        <v>24</v>
      </c>
      <c r="C103" s="3">
        <v>35.0</v>
      </c>
      <c r="D103" s="3" t="s">
        <v>14</v>
      </c>
      <c r="E103" s="8">
        <v>12.0</v>
      </c>
      <c r="F103" s="1">
        <v>2650.0</v>
      </c>
      <c r="G103" s="4">
        <f t="shared" si="1"/>
        <v>602</v>
      </c>
      <c r="H103" s="4">
        <f t="shared" si="2"/>
        <v>483.2</v>
      </c>
      <c r="I103" s="5">
        <f t="shared" si="3"/>
        <v>284.8991049</v>
      </c>
      <c r="J103" s="5">
        <f t="shared" si="4"/>
        <v>2.135531136</v>
      </c>
      <c r="K103" s="1" t="s">
        <v>17</v>
      </c>
      <c r="L103" s="6">
        <f t="shared" si="5"/>
        <v>0.7142857143</v>
      </c>
    </row>
    <row r="104" ht="15.75" customHeight="1">
      <c r="A104" s="3">
        <v>13.0</v>
      </c>
      <c r="B104" s="13" t="s">
        <v>24</v>
      </c>
      <c r="C104" s="3">
        <v>35.0</v>
      </c>
      <c r="D104" s="3" t="s">
        <v>14</v>
      </c>
      <c r="E104" s="8">
        <v>13.0</v>
      </c>
      <c r="F104" s="1">
        <v>2625.0</v>
      </c>
      <c r="G104" s="4">
        <f t="shared" si="1"/>
        <v>577</v>
      </c>
      <c r="H104" s="4">
        <f t="shared" si="2"/>
        <v>370.4</v>
      </c>
      <c r="I104" s="5">
        <f t="shared" si="3"/>
        <v>345.785338</v>
      </c>
      <c r="J104" s="5">
        <f t="shared" si="4"/>
        <v>2.115384615</v>
      </c>
      <c r="K104" s="1" t="s">
        <v>17</v>
      </c>
      <c r="L104" s="6">
        <f t="shared" si="5"/>
        <v>0.6845238095</v>
      </c>
    </row>
    <row r="105" ht="15.75" customHeight="1">
      <c r="A105" s="3">
        <v>14.0</v>
      </c>
      <c r="B105" s="13" t="s">
        <v>24</v>
      </c>
      <c r="C105" s="3">
        <v>35.0</v>
      </c>
      <c r="D105" s="3" t="s">
        <v>14</v>
      </c>
      <c r="E105" s="8">
        <v>14.0</v>
      </c>
      <c r="F105" s="1">
        <v>2630.0</v>
      </c>
      <c r="G105" s="4">
        <f t="shared" si="1"/>
        <v>582</v>
      </c>
      <c r="H105" s="4">
        <f t="shared" si="2"/>
        <v>265.6</v>
      </c>
      <c r="I105" s="5">
        <f t="shared" si="3"/>
        <v>351.6567929</v>
      </c>
      <c r="J105" s="5">
        <f t="shared" si="4"/>
        <v>2.119413919</v>
      </c>
      <c r="K105" s="1" t="s">
        <v>17</v>
      </c>
      <c r="L105" s="6">
        <f t="shared" si="5"/>
        <v>0.6904761905</v>
      </c>
    </row>
    <row r="106" ht="15.75" customHeight="1">
      <c r="A106" s="3">
        <v>15.0</v>
      </c>
      <c r="B106" s="13" t="s">
        <v>24</v>
      </c>
      <c r="C106" s="3">
        <v>35.0</v>
      </c>
      <c r="D106" s="3" t="s">
        <v>14</v>
      </c>
      <c r="E106" s="8">
        <v>15.0</v>
      </c>
      <c r="F106" s="1">
        <v>2660.0</v>
      </c>
      <c r="G106" s="4">
        <f t="shared" si="1"/>
        <v>612</v>
      </c>
      <c r="H106" s="4">
        <f t="shared" si="2"/>
        <v>158.8</v>
      </c>
      <c r="I106" s="5">
        <f t="shared" si="3"/>
        <v>294.0960727</v>
      </c>
      <c r="J106" s="5">
        <f t="shared" si="4"/>
        <v>2.143589744</v>
      </c>
      <c r="K106" s="1" t="s">
        <v>17</v>
      </c>
      <c r="L106" s="6">
        <f t="shared" si="5"/>
        <v>0.7261904762</v>
      </c>
    </row>
    <row r="107" ht="15.75" customHeight="1">
      <c r="A107" s="3">
        <v>1.0</v>
      </c>
      <c r="B107" s="13" t="s">
        <v>25</v>
      </c>
      <c r="C107" s="3">
        <v>20.0</v>
      </c>
      <c r="D107" s="3" t="s">
        <v>14</v>
      </c>
      <c r="E107" s="8">
        <v>1.0</v>
      </c>
      <c r="F107" s="1">
        <v>2005.0</v>
      </c>
      <c r="G107" s="4">
        <f t="shared" si="1"/>
        <v>43</v>
      </c>
      <c r="H107" s="4">
        <f t="shared" si="2"/>
        <v>42</v>
      </c>
      <c r="I107" s="5">
        <f t="shared" si="3"/>
        <v>9.617692031</v>
      </c>
      <c r="J107" s="5">
        <f t="shared" si="4"/>
        <v>1.615750916</v>
      </c>
      <c r="K107" s="1" t="s">
        <v>15</v>
      </c>
      <c r="L107" s="6">
        <f t="shared" si="5"/>
        <v>0.04880952381</v>
      </c>
    </row>
    <row r="108" ht="15.75" customHeight="1">
      <c r="A108" s="3">
        <v>2.0</v>
      </c>
      <c r="B108" s="13" t="s">
        <v>25</v>
      </c>
      <c r="C108" s="3">
        <v>20.0</v>
      </c>
      <c r="D108" s="3" t="s">
        <v>14</v>
      </c>
      <c r="E108" s="8">
        <v>2.0</v>
      </c>
      <c r="F108" s="1">
        <v>2010.0</v>
      </c>
      <c r="G108" s="4">
        <f t="shared" si="1"/>
        <v>38</v>
      </c>
      <c r="H108" s="4">
        <f t="shared" si="2"/>
        <v>63.8</v>
      </c>
      <c r="I108" s="5">
        <f t="shared" si="3"/>
        <v>87.17797887</v>
      </c>
      <c r="J108" s="5">
        <f t="shared" si="4"/>
        <v>1.61978022</v>
      </c>
      <c r="K108" s="1" t="s">
        <v>15</v>
      </c>
      <c r="L108" s="6">
        <f t="shared" si="5"/>
        <v>0.04285714286</v>
      </c>
    </row>
    <row r="109" ht="15.75" customHeight="1">
      <c r="A109" s="3">
        <v>3.0</v>
      </c>
      <c r="B109" s="13" t="s">
        <v>25</v>
      </c>
      <c r="C109" s="3">
        <v>20.0</v>
      </c>
      <c r="D109" s="3" t="s">
        <v>14</v>
      </c>
      <c r="E109" s="8">
        <v>3.0</v>
      </c>
      <c r="F109" s="1">
        <v>1995.0</v>
      </c>
      <c r="G109" s="4">
        <f t="shared" si="1"/>
        <v>53</v>
      </c>
      <c r="H109" s="4">
        <f t="shared" si="2"/>
        <v>92.6</v>
      </c>
      <c r="I109" s="5">
        <f t="shared" si="3"/>
        <v>115.8878768</v>
      </c>
      <c r="J109" s="5">
        <f t="shared" si="4"/>
        <v>1.607692308</v>
      </c>
      <c r="K109" s="1" t="s">
        <v>15</v>
      </c>
      <c r="L109" s="6">
        <f t="shared" si="5"/>
        <v>0.06071428571</v>
      </c>
    </row>
    <row r="110" ht="15.75" customHeight="1">
      <c r="A110" s="3">
        <v>4.0</v>
      </c>
      <c r="B110" s="13" t="s">
        <v>25</v>
      </c>
      <c r="C110" s="3">
        <v>20.0</v>
      </c>
      <c r="D110" s="3" t="s">
        <v>14</v>
      </c>
      <c r="E110" s="8">
        <v>4.0</v>
      </c>
      <c r="F110" s="1">
        <v>2000.0</v>
      </c>
      <c r="G110" s="4">
        <f t="shared" si="1"/>
        <v>48</v>
      </c>
      <c r="H110" s="4">
        <f t="shared" si="2"/>
        <v>122.4</v>
      </c>
      <c r="I110" s="5">
        <f t="shared" si="3"/>
        <v>120.2081528</v>
      </c>
      <c r="J110" s="5">
        <f t="shared" si="4"/>
        <v>1.611721612</v>
      </c>
      <c r="K110" s="1" t="s">
        <v>15</v>
      </c>
      <c r="L110" s="6">
        <f t="shared" si="5"/>
        <v>0.05476190476</v>
      </c>
    </row>
    <row r="111" ht="15.75" customHeight="1">
      <c r="A111" s="3">
        <v>5.0</v>
      </c>
      <c r="B111" s="13" t="s">
        <v>25</v>
      </c>
      <c r="C111" s="3">
        <v>20.0</v>
      </c>
      <c r="D111" s="3" t="s">
        <v>14</v>
      </c>
      <c r="E111" s="8">
        <v>5.0</v>
      </c>
      <c r="F111" s="1">
        <v>2020.0</v>
      </c>
      <c r="G111" s="4">
        <f t="shared" si="1"/>
        <v>28</v>
      </c>
      <c r="H111" s="4">
        <f t="shared" si="2"/>
        <v>148.2</v>
      </c>
      <c r="I111" s="5">
        <f t="shared" si="3"/>
        <v>93.94147114</v>
      </c>
      <c r="J111" s="5">
        <f t="shared" si="4"/>
        <v>1.627838828</v>
      </c>
      <c r="K111" s="1" t="s">
        <v>15</v>
      </c>
      <c r="L111" s="6">
        <f t="shared" si="5"/>
        <v>0.03095238095</v>
      </c>
    </row>
    <row r="112" ht="15.75" customHeight="1">
      <c r="A112" s="3">
        <v>6.0</v>
      </c>
      <c r="B112" s="13" t="s">
        <v>25</v>
      </c>
      <c r="C112" s="3">
        <v>20.0</v>
      </c>
      <c r="D112" s="3" t="s">
        <v>14</v>
      </c>
      <c r="E112" s="8">
        <v>6.0</v>
      </c>
      <c r="F112" s="1">
        <v>2200.0</v>
      </c>
      <c r="G112" s="4">
        <f t="shared" si="1"/>
        <v>152</v>
      </c>
      <c r="H112" s="4">
        <f t="shared" si="2"/>
        <v>181</v>
      </c>
      <c r="I112" s="5">
        <f t="shared" si="3"/>
        <v>18.84144368</v>
      </c>
      <c r="J112" s="5">
        <f t="shared" si="4"/>
        <v>1.772893773</v>
      </c>
      <c r="K112" s="1" t="s">
        <v>16</v>
      </c>
      <c r="L112" s="6">
        <f t="shared" si="5"/>
        <v>0.1785714286</v>
      </c>
    </row>
    <row r="113" ht="15.75" customHeight="1">
      <c r="A113" s="3">
        <v>7.0</v>
      </c>
      <c r="B113" s="13" t="s">
        <v>25</v>
      </c>
      <c r="C113" s="3">
        <v>20.0</v>
      </c>
      <c r="D113" s="3" t="s">
        <v>14</v>
      </c>
      <c r="E113" s="8">
        <v>7.0</v>
      </c>
      <c r="F113" s="1">
        <v>2230.0</v>
      </c>
      <c r="G113" s="4">
        <f t="shared" si="1"/>
        <v>182</v>
      </c>
      <c r="H113" s="4">
        <f t="shared" si="2"/>
        <v>241</v>
      </c>
      <c r="I113" s="5">
        <f t="shared" si="3"/>
        <v>118.3427226</v>
      </c>
      <c r="J113" s="5">
        <f t="shared" si="4"/>
        <v>1.797069597</v>
      </c>
      <c r="K113" s="1" t="s">
        <v>16</v>
      </c>
      <c r="L113" s="6">
        <f t="shared" si="5"/>
        <v>0.2142857143</v>
      </c>
    </row>
    <row r="114" ht="15.75" customHeight="1">
      <c r="A114" s="3">
        <v>8.0</v>
      </c>
      <c r="B114" s="13" t="s">
        <v>25</v>
      </c>
      <c r="C114" s="3">
        <v>20.0</v>
      </c>
      <c r="D114" s="3" t="s">
        <v>14</v>
      </c>
      <c r="E114" s="8">
        <v>8.0</v>
      </c>
      <c r="F114" s="1">
        <v>2250.0</v>
      </c>
      <c r="G114" s="4">
        <f t="shared" si="1"/>
        <v>202</v>
      </c>
      <c r="H114" s="4">
        <f t="shared" si="2"/>
        <v>305</v>
      </c>
      <c r="I114" s="5">
        <f t="shared" si="3"/>
        <v>158.2561215</v>
      </c>
      <c r="J114" s="5">
        <f t="shared" si="4"/>
        <v>1.813186813</v>
      </c>
      <c r="K114" s="1" t="s">
        <v>16</v>
      </c>
      <c r="L114" s="6">
        <f t="shared" si="5"/>
        <v>0.2380952381</v>
      </c>
    </row>
    <row r="115" ht="15.75" customHeight="1">
      <c r="A115" s="3">
        <v>9.0</v>
      </c>
      <c r="B115" s="13" t="s">
        <v>25</v>
      </c>
      <c r="C115" s="3">
        <v>20.0</v>
      </c>
      <c r="D115" s="3" t="s">
        <v>14</v>
      </c>
      <c r="E115" s="8">
        <v>9.0</v>
      </c>
      <c r="F115" s="1">
        <v>2225.0</v>
      </c>
      <c r="G115" s="4">
        <f t="shared" si="1"/>
        <v>177</v>
      </c>
      <c r="H115" s="4">
        <f t="shared" si="2"/>
        <v>361</v>
      </c>
      <c r="I115" s="5">
        <f t="shared" si="3"/>
        <v>162.1881623</v>
      </c>
      <c r="J115" s="5">
        <f t="shared" si="4"/>
        <v>1.793040293</v>
      </c>
      <c r="K115" s="1" t="s">
        <v>16</v>
      </c>
      <c r="L115" s="6">
        <f t="shared" si="5"/>
        <v>0.2083333333</v>
      </c>
    </row>
    <row r="116" ht="15.75" customHeight="1">
      <c r="A116" s="3">
        <v>10.0</v>
      </c>
      <c r="B116" s="13" t="s">
        <v>25</v>
      </c>
      <c r="C116" s="3">
        <v>20.0</v>
      </c>
      <c r="D116" s="3" t="s">
        <v>14</v>
      </c>
      <c r="E116" s="8">
        <v>10.0</v>
      </c>
      <c r="F116" s="1">
        <v>2240.0</v>
      </c>
      <c r="G116" s="4">
        <f t="shared" si="1"/>
        <v>192</v>
      </c>
      <c r="H116" s="4">
        <f t="shared" si="2"/>
        <v>428</v>
      </c>
      <c r="I116" s="5">
        <f t="shared" si="3"/>
        <v>133.9029499</v>
      </c>
      <c r="J116" s="5">
        <f t="shared" si="4"/>
        <v>1.805128205</v>
      </c>
      <c r="K116" s="1" t="s">
        <v>16</v>
      </c>
      <c r="L116" s="6">
        <f t="shared" si="5"/>
        <v>0.2261904762</v>
      </c>
    </row>
    <row r="117" ht="15.75" customHeight="1">
      <c r="A117" s="3">
        <v>11.0</v>
      </c>
      <c r="B117" s="13" t="s">
        <v>25</v>
      </c>
      <c r="C117" s="3">
        <v>20.0</v>
      </c>
      <c r="D117" s="3" t="s">
        <v>14</v>
      </c>
      <c r="E117" s="8">
        <v>11.0</v>
      </c>
      <c r="F117" s="1">
        <v>2500.0</v>
      </c>
      <c r="G117" s="4">
        <f t="shared" si="1"/>
        <v>452</v>
      </c>
      <c r="H117" s="4">
        <f t="shared" si="2"/>
        <v>496</v>
      </c>
      <c r="I117" s="5">
        <f t="shared" si="3"/>
        <v>30.49590136</v>
      </c>
      <c r="J117" s="5">
        <f t="shared" si="4"/>
        <v>2.014652015</v>
      </c>
      <c r="K117" s="1" t="s">
        <v>17</v>
      </c>
      <c r="L117" s="6">
        <f t="shared" si="5"/>
        <v>0.5357142857</v>
      </c>
    </row>
    <row r="118" ht="15.75" customHeight="1">
      <c r="A118" s="3">
        <v>12.0</v>
      </c>
      <c r="B118" s="13" t="s">
        <v>25</v>
      </c>
      <c r="C118" s="3">
        <v>20.0</v>
      </c>
      <c r="D118" s="3" t="s">
        <v>14</v>
      </c>
      <c r="E118" s="8">
        <v>12.0</v>
      </c>
      <c r="F118" s="1">
        <v>2550.0</v>
      </c>
      <c r="G118" s="4">
        <f t="shared" si="1"/>
        <v>502</v>
      </c>
      <c r="H118" s="4">
        <f t="shared" si="2"/>
        <v>407.6</v>
      </c>
      <c r="I118" s="5">
        <f t="shared" si="3"/>
        <v>231.9111899</v>
      </c>
      <c r="J118" s="5">
        <f t="shared" si="4"/>
        <v>2.054945055</v>
      </c>
      <c r="K118" s="1" t="s">
        <v>17</v>
      </c>
      <c r="L118" s="6">
        <f t="shared" si="5"/>
        <v>0.5952380952</v>
      </c>
    </row>
    <row r="119" ht="15.75" customHeight="1">
      <c r="A119" s="3">
        <v>13.0</v>
      </c>
      <c r="B119" s="13" t="s">
        <v>25</v>
      </c>
      <c r="C119" s="3">
        <v>20.0</v>
      </c>
      <c r="D119" s="3" t="s">
        <v>14</v>
      </c>
      <c r="E119" s="8">
        <v>13.0</v>
      </c>
      <c r="F119" s="1">
        <v>2530.0</v>
      </c>
      <c r="G119" s="4">
        <f t="shared" si="1"/>
        <v>482</v>
      </c>
      <c r="H119" s="4">
        <f t="shared" si="2"/>
        <v>311.2</v>
      </c>
      <c r="I119" s="5">
        <f t="shared" si="3"/>
        <v>287.397286</v>
      </c>
      <c r="J119" s="5">
        <f t="shared" si="4"/>
        <v>2.038827839</v>
      </c>
      <c r="K119" s="1" t="s">
        <v>17</v>
      </c>
      <c r="L119" s="6">
        <f t="shared" si="5"/>
        <v>0.5714285714</v>
      </c>
    </row>
    <row r="120" ht="15.75" customHeight="1">
      <c r="A120" s="3">
        <v>14.0</v>
      </c>
      <c r="B120" s="13" t="s">
        <v>25</v>
      </c>
      <c r="C120" s="3">
        <v>20.0</v>
      </c>
      <c r="D120" s="3" t="s">
        <v>14</v>
      </c>
      <c r="E120" s="8">
        <v>14.0</v>
      </c>
      <c r="F120" s="1">
        <v>2560.0</v>
      </c>
      <c r="G120" s="4">
        <f t="shared" si="1"/>
        <v>512</v>
      </c>
      <c r="H120" s="4">
        <f t="shared" si="2"/>
        <v>221.6</v>
      </c>
      <c r="I120" s="5">
        <f t="shared" si="3"/>
        <v>297.8019476</v>
      </c>
      <c r="J120" s="5">
        <f t="shared" si="4"/>
        <v>2.063003663</v>
      </c>
      <c r="K120" s="1" t="s">
        <v>17</v>
      </c>
      <c r="L120" s="6">
        <f t="shared" si="5"/>
        <v>0.6071428571</v>
      </c>
    </row>
    <row r="121" ht="15.75" customHeight="1">
      <c r="A121" s="3">
        <v>15.0</v>
      </c>
      <c r="B121" s="13" t="s">
        <v>25</v>
      </c>
      <c r="C121" s="3">
        <v>20.0</v>
      </c>
      <c r="D121" s="3" t="s">
        <v>14</v>
      </c>
      <c r="E121" s="8">
        <v>15.0</v>
      </c>
      <c r="F121" s="1">
        <v>2580.0</v>
      </c>
      <c r="G121" s="4">
        <f t="shared" si="1"/>
        <v>532</v>
      </c>
      <c r="H121" s="4">
        <f t="shared" si="2"/>
        <v>120.4</v>
      </c>
      <c r="I121" s="5">
        <f t="shared" si="3"/>
        <v>245.9813001</v>
      </c>
      <c r="J121" s="5">
        <f t="shared" si="4"/>
        <v>2.079120879</v>
      </c>
      <c r="K121" s="1" t="s">
        <v>17</v>
      </c>
      <c r="L121" s="6">
        <f t="shared" si="5"/>
        <v>0.630952381</v>
      </c>
    </row>
    <row r="122" ht="15.75" customHeight="1">
      <c r="A122" s="3">
        <v>1.0</v>
      </c>
      <c r="B122" s="1" t="s">
        <v>13</v>
      </c>
      <c r="C122" s="14">
        <v>9.0</v>
      </c>
      <c r="D122" s="15" t="s">
        <v>20</v>
      </c>
      <c r="E122" s="8">
        <v>1.0</v>
      </c>
      <c r="F122" s="15">
        <v>2038.0</v>
      </c>
      <c r="G122" s="4">
        <f t="shared" si="1"/>
        <v>10</v>
      </c>
      <c r="H122" s="4">
        <f t="shared" si="2"/>
        <v>22.2</v>
      </c>
      <c r="I122" s="5">
        <f t="shared" si="3"/>
        <v>15.07315495</v>
      </c>
      <c r="J122" s="5">
        <f t="shared" si="4"/>
        <v>1.642344322</v>
      </c>
      <c r="K122" s="1" t="s">
        <v>15</v>
      </c>
      <c r="L122" s="6">
        <f t="shared" si="5"/>
        <v>0.009523809524</v>
      </c>
    </row>
    <row r="123" ht="15.75" customHeight="1">
      <c r="A123" s="3">
        <v>2.0</v>
      </c>
      <c r="B123" s="1" t="s">
        <v>13</v>
      </c>
      <c r="C123" s="14">
        <v>9.0</v>
      </c>
      <c r="D123" s="15" t="s">
        <v>20</v>
      </c>
      <c r="E123" s="8">
        <v>2.0</v>
      </c>
      <c r="F123" s="15">
        <v>2028.0</v>
      </c>
      <c r="G123" s="4">
        <f t="shared" si="1"/>
        <v>20</v>
      </c>
      <c r="H123" s="4">
        <f t="shared" si="2"/>
        <v>52.6</v>
      </c>
      <c r="I123" s="5">
        <f t="shared" si="3"/>
        <v>84.81273489</v>
      </c>
      <c r="J123" s="5">
        <f t="shared" si="4"/>
        <v>1.634285714</v>
      </c>
      <c r="K123" s="1" t="s">
        <v>15</v>
      </c>
      <c r="L123" s="6">
        <f t="shared" si="5"/>
        <v>0.02142857143</v>
      </c>
    </row>
    <row r="124" ht="15.75" customHeight="1">
      <c r="A124" s="3">
        <v>3.0</v>
      </c>
      <c r="B124" s="1" t="s">
        <v>13</v>
      </c>
      <c r="C124" s="14">
        <v>9.0</v>
      </c>
      <c r="D124" s="15" t="s">
        <v>20</v>
      </c>
      <c r="E124" s="8">
        <v>3.0</v>
      </c>
      <c r="F124" s="15">
        <v>2014.0</v>
      </c>
      <c r="G124" s="4">
        <f t="shared" si="1"/>
        <v>34</v>
      </c>
      <c r="H124" s="4">
        <f t="shared" si="2"/>
        <v>73</v>
      </c>
      <c r="I124" s="5">
        <f t="shared" si="3"/>
        <v>94.5505156</v>
      </c>
      <c r="J124" s="5">
        <f t="shared" si="4"/>
        <v>1.623003663</v>
      </c>
      <c r="K124" s="1" t="s">
        <v>15</v>
      </c>
      <c r="L124" s="6">
        <f t="shared" si="5"/>
        <v>0.0380952381</v>
      </c>
    </row>
    <row r="125" ht="15.75" customHeight="1">
      <c r="A125" s="3">
        <v>4.0</v>
      </c>
      <c r="B125" s="1" t="s">
        <v>13</v>
      </c>
      <c r="C125" s="14">
        <v>9.0</v>
      </c>
      <c r="D125" s="15" t="s">
        <v>20</v>
      </c>
      <c r="E125" s="8">
        <v>4.0</v>
      </c>
      <c r="F125" s="15">
        <v>2042.0</v>
      </c>
      <c r="G125" s="4">
        <f t="shared" si="1"/>
        <v>6</v>
      </c>
      <c r="H125" s="4">
        <f t="shared" si="2"/>
        <v>103</v>
      </c>
      <c r="I125" s="5">
        <f t="shared" si="3"/>
        <v>101.5539266</v>
      </c>
      <c r="J125" s="5">
        <f t="shared" si="4"/>
        <v>1.645567766</v>
      </c>
      <c r="K125" s="1" t="s">
        <v>15</v>
      </c>
      <c r="L125" s="6">
        <f t="shared" si="5"/>
        <v>0.004761904762</v>
      </c>
    </row>
    <row r="126" ht="15.75" customHeight="1">
      <c r="A126" s="3">
        <v>5.0</v>
      </c>
      <c r="B126" s="1" t="s">
        <v>13</v>
      </c>
      <c r="C126" s="14">
        <v>9.0</v>
      </c>
      <c r="D126" s="15" t="s">
        <v>20</v>
      </c>
      <c r="E126" s="8">
        <v>5.0</v>
      </c>
      <c r="F126" s="15">
        <v>2007.0</v>
      </c>
      <c r="G126" s="4">
        <f t="shared" si="1"/>
        <v>41</v>
      </c>
      <c r="H126" s="4">
        <f t="shared" si="2"/>
        <v>139.4</v>
      </c>
      <c r="I126" s="5">
        <f t="shared" si="3"/>
        <v>95.34673565</v>
      </c>
      <c r="J126" s="5">
        <f t="shared" si="4"/>
        <v>1.617362637</v>
      </c>
      <c r="K126" s="1" t="s">
        <v>15</v>
      </c>
      <c r="L126" s="6">
        <f t="shared" si="5"/>
        <v>0.04642857143</v>
      </c>
    </row>
    <row r="127" ht="15.75" customHeight="1">
      <c r="A127" s="3">
        <v>6.0</v>
      </c>
      <c r="B127" s="1" t="s">
        <v>13</v>
      </c>
      <c r="C127" s="14">
        <v>9.0</v>
      </c>
      <c r="D127" s="15" t="s">
        <v>20</v>
      </c>
      <c r="E127" s="8">
        <v>6.0</v>
      </c>
      <c r="F127" s="15">
        <v>2210.0</v>
      </c>
      <c r="G127" s="4">
        <f t="shared" si="1"/>
        <v>162</v>
      </c>
      <c r="H127" s="4">
        <f t="shared" si="2"/>
        <v>166.4</v>
      </c>
      <c r="I127" s="5">
        <f t="shared" si="3"/>
        <v>26.73574386</v>
      </c>
      <c r="J127" s="5">
        <f t="shared" si="4"/>
        <v>1.780952381</v>
      </c>
      <c r="K127" s="1" t="s">
        <v>16</v>
      </c>
      <c r="L127" s="6">
        <f t="shared" si="5"/>
        <v>0.1904761905</v>
      </c>
    </row>
    <row r="128" ht="15.75" customHeight="1">
      <c r="A128" s="3">
        <v>7.0</v>
      </c>
      <c r="B128" s="1" t="s">
        <v>13</v>
      </c>
      <c r="C128" s="14">
        <v>9.0</v>
      </c>
      <c r="D128" s="15" t="s">
        <v>20</v>
      </c>
      <c r="E128" s="8">
        <v>7.0</v>
      </c>
      <c r="F128" s="15">
        <v>2170.0</v>
      </c>
      <c r="G128" s="4">
        <f t="shared" si="1"/>
        <v>122</v>
      </c>
      <c r="H128" s="4">
        <f t="shared" si="2"/>
        <v>241.8</v>
      </c>
      <c r="I128" s="5">
        <f t="shared" si="3"/>
        <v>168.2593237</v>
      </c>
      <c r="J128" s="5">
        <f t="shared" si="4"/>
        <v>1.748717949</v>
      </c>
      <c r="K128" s="1" t="s">
        <v>16</v>
      </c>
      <c r="L128" s="6">
        <f t="shared" si="5"/>
        <v>0.1428571429</v>
      </c>
    </row>
    <row r="129" ht="15.75" customHeight="1">
      <c r="A129" s="3">
        <v>8.0</v>
      </c>
      <c r="B129" s="1" t="s">
        <v>13</v>
      </c>
      <c r="C129" s="14">
        <v>9.0</v>
      </c>
      <c r="D129" s="15" t="s">
        <v>20</v>
      </c>
      <c r="E129" s="8">
        <v>8.0</v>
      </c>
      <c r="F129" s="15">
        <v>2232.0</v>
      </c>
      <c r="G129" s="4">
        <f t="shared" si="1"/>
        <v>184</v>
      </c>
      <c r="H129" s="4">
        <f t="shared" si="2"/>
        <v>382.2</v>
      </c>
      <c r="I129" s="5">
        <f t="shared" si="3"/>
        <v>291.2425106</v>
      </c>
      <c r="J129" s="5">
        <f t="shared" si="4"/>
        <v>1.798681319</v>
      </c>
      <c r="K129" s="1" t="s">
        <v>16</v>
      </c>
      <c r="L129" s="6">
        <f t="shared" si="5"/>
        <v>0.2166666667</v>
      </c>
    </row>
    <row r="130" ht="15.75" customHeight="1">
      <c r="A130" s="3">
        <v>9.0</v>
      </c>
      <c r="B130" s="1" t="s">
        <v>13</v>
      </c>
      <c r="C130" s="14">
        <v>9.0</v>
      </c>
      <c r="D130" s="15" t="s">
        <v>20</v>
      </c>
      <c r="E130" s="8">
        <v>9.0</v>
      </c>
      <c r="F130" s="15">
        <v>2236.0</v>
      </c>
      <c r="G130" s="4">
        <f t="shared" si="1"/>
        <v>188</v>
      </c>
      <c r="H130" s="4">
        <f t="shared" si="2"/>
        <v>455.6</v>
      </c>
      <c r="I130" s="5">
        <f t="shared" si="3"/>
        <v>274.5729411</v>
      </c>
      <c r="J130" s="5">
        <f t="shared" si="4"/>
        <v>1.801904762</v>
      </c>
      <c r="K130" s="1" t="s">
        <v>16</v>
      </c>
      <c r="L130" s="6">
        <f t="shared" si="5"/>
        <v>0.2214285714</v>
      </c>
    </row>
    <row r="131" ht="15.75" customHeight="1">
      <c r="A131" s="3">
        <v>10.0</v>
      </c>
      <c r="B131" s="1" t="s">
        <v>13</v>
      </c>
      <c r="C131" s="14">
        <v>9.0</v>
      </c>
      <c r="D131" s="15" t="s">
        <v>20</v>
      </c>
      <c r="E131" s="8">
        <v>10.0</v>
      </c>
      <c r="F131" s="15">
        <v>2224.0</v>
      </c>
      <c r="G131" s="4">
        <f t="shared" si="1"/>
        <v>176</v>
      </c>
      <c r="H131" s="4">
        <f t="shared" si="2"/>
        <v>580.2</v>
      </c>
      <c r="I131" s="5">
        <f t="shared" si="3"/>
        <v>263.9293466</v>
      </c>
      <c r="J131" s="5">
        <f t="shared" si="4"/>
        <v>1.792234432</v>
      </c>
      <c r="K131" s="1" t="s">
        <v>16</v>
      </c>
      <c r="L131" s="6">
        <f t="shared" si="5"/>
        <v>0.2071428571</v>
      </c>
    </row>
    <row r="132" ht="15.75" customHeight="1">
      <c r="A132" s="3">
        <v>11.0</v>
      </c>
      <c r="B132" s="1" t="s">
        <v>13</v>
      </c>
      <c r="C132" s="14">
        <v>9.0</v>
      </c>
      <c r="D132" s="15" t="s">
        <v>20</v>
      </c>
      <c r="E132" s="8">
        <v>11.0</v>
      </c>
      <c r="F132" s="15">
        <v>2587.0</v>
      </c>
      <c r="G132" s="4">
        <f t="shared" si="1"/>
        <v>539</v>
      </c>
      <c r="H132" s="4">
        <f t="shared" si="2"/>
        <v>665.6</v>
      </c>
      <c r="I132" s="5">
        <f t="shared" si="3"/>
        <v>140.8112211</v>
      </c>
      <c r="J132" s="5">
        <f t="shared" si="4"/>
        <v>2.084761905</v>
      </c>
      <c r="K132" s="1" t="s">
        <v>17</v>
      </c>
      <c r="L132" s="6">
        <f t="shared" si="5"/>
        <v>0.6392857143</v>
      </c>
    </row>
    <row r="133" ht="15.75" customHeight="1">
      <c r="A133" s="3">
        <v>12.0</v>
      </c>
      <c r="B133" s="1" t="s">
        <v>13</v>
      </c>
      <c r="C133" s="14">
        <v>9.0</v>
      </c>
      <c r="D133" s="15" t="s">
        <v>20</v>
      </c>
      <c r="E133" s="8">
        <v>12.0</v>
      </c>
      <c r="F133" s="15">
        <v>2872.0</v>
      </c>
      <c r="G133" s="4">
        <f t="shared" si="1"/>
        <v>824</v>
      </c>
      <c r="H133" s="4">
        <f t="shared" si="2"/>
        <v>571</v>
      </c>
      <c r="I133" s="5">
        <f t="shared" si="3"/>
        <v>362.3938465</v>
      </c>
      <c r="J133" s="5">
        <f t="shared" si="4"/>
        <v>2.314432234</v>
      </c>
      <c r="K133" s="1" t="s">
        <v>17</v>
      </c>
      <c r="L133" s="6">
        <f t="shared" si="5"/>
        <v>0.9785714286</v>
      </c>
    </row>
    <row r="134" ht="15.75" customHeight="1">
      <c r="A134" s="3">
        <v>13.0</v>
      </c>
      <c r="B134" s="1" t="s">
        <v>13</v>
      </c>
      <c r="C134" s="14">
        <v>9.0</v>
      </c>
      <c r="D134" s="15" t="s">
        <v>20</v>
      </c>
      <c r="E134" s="8">
        <v>13.0</v>
      </c>
      <c r="F134" s="15">
        <v>2599.0</v>
      </c>
      <c r="G134" s="4">
        <f t="shared" si="1"/>
        <v>551</v>
      </c>
      <c r="H134" s="4">
        <f t="shared" si="2"/>
        <v>415.6</v>
      </c>
      <c r="I134" s="5">
        <f t="shared" si="3"/>
        <v>401.7198028</v>
      </c>
      <c r="J134" s="5">
        <f t="shared" si="4"/>
        <v>2.094432234</v>
      </c>
      <c r="K134" s="1" t="s">
        <v>17</v>
      </c>
      <c r="L134" s="6">
        <f t="shared" si="5"/>
        <v>0.6535714286</v>
      </c>
    </row>
    <row r="135" ht="15.75" customHeight="1">
      <c r="A135" s="3">
        <v>14.0</v>
      </c>
      <c r="B135" s="1" t="s">
        <v>13</v>
      </c>
      <c r="C135" s="14">
        <v>9.0</v>
      </c>
      <c r="D135" s="15" t="s">
        <v>20</v>
      </c>
      <c r="E135" s="8">
        <v>14.0</v>
      </c>
      <c r="F135" s="15">
        <v>2859.0</v>
      </c>
      <c r="G135" s="4">
        <f t="shared" si="1"/>
        <v>811</v>
      </c>
      <c r="H135" s="4">
        <f t="shared" si="2"/>
        <v>318.8</v>
      </c>
      <c r="I135" s="5">
        <f t="shared" si="3"/>
        <v>426.565587</v>
      </c>
      <c r="J135" s="5">
        <f t="shared" si="4"/>
        <v>2.303956044</v>
      </c>
      <c r="K135" s="1" t="s">
        <v>17</v>
      </c>
      <c r="L135" s="6">
        <f t="shared" si="5"/>
        <v>0.9630952381</v>
      </c>
    </row>
    <row r="136" ht="15.75" customHeight="1">
      <c r="A136" s="3">
        <v>15.0</v>
      </c>
      <c r="B136" s="1" t="s">
        <v>13</v>
      </c>
      <c r="C136" s="14">
        <v>9.0</v>
      </c>
      <c r="D136" s="15" t="s">
        <v>20</v>
      </c>
      <c r="E136" s="8">
        <v>15.0</v>
      </c>
      <c r="F136" s="15">
        <v>2651.0</v>
      </c>
      <c r="G136" s="4">
        <f t="shared" si="1"/>
        <v>603</v>
      </c>
      <c r="H136" s="4">
        <f t="shared" si="2"/>
        <v>165.6</v>
      </c>
      <c r="I136" s="5">
        <f t="shared" si="3"/>
        <v>295.0047457</v>
      </c>
      <c r="J136" s="5">
        <f t="shared" si="4"/>
        <v>2.136336996</v>
      </c>
      <c r="K136" s="1" t="s">
        <v>17</v>
      </c>
      <c r="L136" s="6">
        <f t="shared" si="5"/>
        <v>0.7154761905</v>
      </c>
    </row>
    <row r="137" ht="15.75" customHeight="1">
      <c r="A137" s="8">
        <v>1.0</v>
      </c>
      <c r="B137" s="9" t="s">
        <v>18</v>
      </c>
      <c r="C137" s="14">
        <v>13.0</v>
      </c>
      <c r="D137" s="15" t="s">
        <v>20</v>
      </c>
      <c r="E137" s="8">
        <v>1.0</v>
      </c>
      <c r="F137" s="15">
        <v>1982.0</v>
      </c>
      <c r="G137" s="4">
        <f t="shared" si="1"/>
        <v>66</v>
      </c>
      <c r="H137" s="4">
        <f t="shared" si="2"/>
        <v>50</v>
      </c>
      <c r="I137" s="5">
        <f t="shared" si="3"/>
        <v>17.34935157</v>
      </c>
      <c r="J137" s="5">
        <f t="shared" si="4"/>
        <v>1.597216117</v>
      </c>
      <c r="K137" s="1" t="s">
        <v>15</v>
      </c>
      <c r="L137" s="6">
        <f t="shared" si="5"/>
        <v>0.07619047619</v>
      </c>
    </row>
    <row r="138" ht="15.75" customHeight="1">
      <c r="A138" s="8">
        <v>2.0</v>
      </c>
      <c r="B138" s="12" t="s">
        <v>18</v>
      </c>
      <c r="C138" s="14">
        <v>13.0</v>
      </c>
      <c r="D138" s="15" t="s">
        <v>20</v>
      </c>
      <c r="E138" s="8">
        <v>2.0</v>
      </c>
      <c r="F138" s="15">
        <v>2001.0</v>
      </c>
      <c r="G138" s="4">
        <f t="shared" si="1"/>
        <v>47</v>
      </c>
      <c r="H138" s="4">
        <f t="shared" si="2"/>
        <v>63</v>
      </c>
      <c r="I138" s="5">
        <f t="shared" si="3"/>
        <v>80.54067295</v>
      </c>
      <c r="J138" s="5">
        <f t="shared" si="4"/>
        <v>1.612527473</v>
      </c>
      <c r="K138" s="1" t="s">
        <v>15</v>
      </c>
      <c r="L138" s="6">
        <f t="shared" si="5"/>
        <v>0.05357142857</v>
      </c>
    </row>
    <row r="139" ht="15.75" customHeight="1">
      <c r="A139" s="8">
        <v>3.0</v>
      </c>
      <c r="B139" s="9" t="s">
        <v>18</v>
      </c>
      <c r="C139" s="14">
        <v>13.0</v>
      </c>
      <c r="D139" s="15" t="s">
        <v>20</v>
      </c>
      <c r="E139" s="8">
        <v>3.0</v>
      </c>
      <c r="F139" s="15">
        <v>1981.0</v>
      </c>
      <c r="G139" s="4">
        <f t="shared" si="1"/>
        <v>67</v>
      </c>
      <c r="H139" s="4">
        <f t="shared" si="2"/>
        <v>81.4</v>
      </c>
      <c r="I139" s="5">
        <f t="shared" si="3"/>
        <v>100.103946</v>
      </c>
      <c r="J139" s="5">
        <f t="shared" si="4"/>
        <v>1.596410256</v>
      </c>
      <c r="K139" s="1" t="s">
        <v>15</v>
      </c>
      <c r="L139" s="6">
        <f t="shared" si="5"/>
        <v>0.07738095238</v>
      </c>
    </row>
    <row r="140" ht="15.75" customHeight="1">
      <c r="A140" s="8">
        <v>4.0</v>
      </c>
      <c r="B140" s="12" t="s">
        <v>18</v>
      </c>
      <c r="C140" s="14">
        <v>13.0</v>
      </c>
      <c r="D140" s="15" t="s">
        <v>20</v>
      </c>
      <c r="E140" s="8">
        <v>4.0</v>
      </c>
      <c r="F140" s="15">
        <v>2003.0</v>
      </c>
      <c r="G140" s="4">
        <f t="shared" si="1"/>
        <v>45</v>
      </c>
      <c r="H140" s="4">
        <f t="shared" si="2"/>
        <v>88.6</v>
      </c>
      <c r="I140" s="5">
        <f t="shared" si="3"/>
        <v>88.57087557</v>
      </c>
      <c r="J140" s="5">
        <f t="shared" si="4"/>
        <v>1.614139194</v>
      </c>
      <c r="K140" s="1" t="s">
        <v>15</v>
      </c>
      <c r="L140" s="6">
        <f t="shared" si="5"/>
        <v>0.05119047619</v>
      </c>
    </row>
    <row r="141" ht="15.75" customHeight="1">
      <c r="A141" s="8">
        <v>5.0</v>
      </c>
      <c r="B141" s="9" t="s">
        <v>18</v>
      </c>
      <c r="C141" s="14">
        <v>13.0</v>
      </c>
      <c r="D141" s="15" t="s">
        <v>20</v>
      </c>
      <c r="E141" s="8">
        <v>5.0</v>
      </c>
      <c r="F141" s="15">
        <v>2023.0</v>
      </c>
      <c r="G141" s="4">
        <f t="shared" si="1"/>
        <v>25</v>
      </c>
      <c r="H141" s="4">
        <f t="shared" si="2"/>
        <v>112.6</v>
      </c>
      <c r="I141" s="5">
        <f t="shared" si="3"/>
        <v>74.67797533</v>
      </c>
      <c r="J141" s="5">
        <f t="shared" si="4"/>
        <v>1.63025641</v>
      </c>
      <c r="K141" s="1" t="s">
        <v>15</v>
      </c>
      <c r="L141" s="6">
        <f t="shared" si="5"/>
        <v>0.02738095238</v>
      </c>
    </row>
    <row r="142" ht="15.75" customHeight="1">
      <c r="A142" s="8">
        <v>6.0</v>
      </c>
      <c r="B142" s="12" t="s">
        <v>18</v>
      </c>
      <c r="C142" s="14">
        <v>13.0</v>
      </c>
      <c r="D142" s="15" t="s">
        <v>20</v>
      </c>
      <c r="E142" s="8">
        <v>6.0</v>
      </c>
      <c r="F142" s="15">
        <v>2179.0</v>
      </c>
      <c r="G142" s="4">
        <f t="shared" si="1"/>
        <v>131</v>
      </c>
      <c r="H142" s="4">
        <f t="shared" si="2"/>
        <v>139.8</v>
      </c>
      <c r="I142" s="5">
        <f t="shared" si="3"/>
        <v>25.08385935</v>
      </c>
      <c r="J142" s="5">
        <f t="shared" si="4"/>
        <v>1.755970696</v>
      </c>
      <c r="K142" s="1" t="s">
        <v>16</v>
      </c>
      <c r="L142" s="6">
        <f t="shared" si="5"/>
        <v>0.1535714286</v>
      </c>
    </row>
    <row r="143" ht="15.75" customHeight="1">
      <c r="A143" s="8">
        <v>7.0</v>
      </c>
      <c r="B143" s="9" t="s">
        <v>18</v>
      </c>
      <c r="C143" s="14">
        <v>13.0</v>
      </c>
      <c r="D143" s="15" t="s">
        <v>20</v>
      </c>
      <c r="E143" s="8">
        <v>7.0</v>
      </c>
      <c r="F143" s="15">
        <v>2187.0</v>
      </c>
      <c r="G143" s="4">
        <f t="shared" si="1"/>
        <v>139</v>
      </c>
      <c r="H143" s="4">
        <f t="shared" si="2"/>
        <v>259.2</v>
      </c>
      <c r="I143" s="5">
        <f t="shared" si="3"/>
        <v>263.2189203</v>
      </c>
      <c r="J143" s="5">
        <f t="shared" si="4"/>
        <v>1.762417582</v>
      </c>
      <c r="K143" s="1" t="s">
        <v>16</v>
      </c>
      <c r="L143" s="6">
        <f t="shared" si="5"/>
        <v>0.1630952381</v>
      </c>
    </row>
    <row r="144" ht="15.75" customHeight="1">
      <c r="A144" s="8">
        <v>8.0</v>
      </c>
      <c r="B144" s="12" t="s">
        <v>18</v>
      </c>
      <c r="C144" s="14">
        <v>13.0</v>
      </c>
      <c r="D144" s="15" t="s">
        <v>20</v>
      </c>
      <c r="E144" s="8">
        <v>8.0</v>
      </c>
      <c r="F144" s="15">
        <v>2151.0</v>
      </c>
      <c r="G144" s="4">
        <f t="shared" si="1"/>
        <v>103</v>
      </c>
      <c r="H144" s="4">
        <f t="shared" si="2"/>
        <v>353.8</v>
      </c>
      <c r="I144" s="5">
        <f t="shared" si="3"/>
        <v>292.5793909</v>
      </c>
      <c r="J144" s="5">
        <f t="shared" si="4"/>
        <v>1.733406593</v>
      </c>
      <c r="K144" s="1" t="s">
        <v>16</v>
      </c>
      <c r="L144" s="6">
        <f t="shared" si="5"/>
        <v>0.1202380952</v>
      </c>
    </row>
    <row r="145" ht="15.75" customHeight="1">
      <c r="A145" s="8">
        <v>9.0</v>
      </c>
      <c r="B145" s="9" t="s">
        <v>18</v>
      </c>
      <c r="C145" s="14">
        <v>13.0</v>
      </c>
      <c r="D145" s="15" t="s">
        <v>20</v>
      </c>
      <c r="E145" s="8">
        <v>9.0</v>
      </c>
      <c r="F145" s="15">
        <v>2213.0</v>
      </c>
      <c r="G145" s="4">
        <f t="shared" si="1"/>
        <v>165</v>
      </c>
      <c r="H145" s="4">
        <f t="shared" si="2"/>
        <v>486.2</v>
      </c>
      <c r="I145" s="5">
        <f t="shared" si="3"/>
        <v>300.394241</v>
      </c>
      <c r="J145" s="5">
        <f t="shared" si="4"/>
        <v>1.783369963</v>
      </c>
      <c r="K145" s="1" t="s">
        <v>16</v>
      </c>
      <c r="L145" s="6">
        <f t="shared" si="5"/>
        <v>0.194047619</v>
      </c>
    </row>
    <row r="146" ht="15.75" customHeight="1">
      <c r="A146" s="8">
        <v>10.0</v>
      </c>
      <c r="B146" s="12" t="s">
        <v>18</v>
      </c>
      <c r="C146" s="14">
        <v>13.0</v>
      </c>
      <c r="D146" s="15" t="s">
        <v>20</v>
      </c>
      <c r="E146" s="8">
        <v>10.0</v>
      </c>
      <c r="F146" s="15">
        <v>2209.0</v>
      </c>
      <c r="G146" s="4">
        <f t="shared" si="1"/>
        <v>161</v>
      </c>
      <c r="H146" s="4">
        <f t="shared" si="2"/>
        <v>547.8</v>
      </c>
      <c r="I146" s="5">
        <f t="shared" si="3"/>
        <v>244.4272898</v>
      </c>
      <c r="J146" s="5">
        <f t="shared" si="4"/>
        <v>1.78014652</v>
      </c>
      <c r="K146" s="1" t="s">
        <v>16</v>
      </c>
      <c r="L146" s="6">
        <f t="shared" si="5"/>
        <v>0.1892857143</v>
      </c>
    </row>
    <row r="147" ht="15.75" customHeight="1">
      <c r="A147" s="8">
        <v>11.0</v>
      </c>
      <c r="B147" s="9" t="s">
        <v>18</v>
      </c>
      <c r="C147" s="14">
        <v>13.0</v>
      </c>
      <c r="D147" s="15" t="s">
        <v>20</v>
      </c>
      <c r="E147" s="8">
        <v>11.0</v>
      </c>
      <c r="F147" s="15">
        <v>2776.0</v>
      </c>
      <c r="G147" s="4">
        <f t="shared" si="1"/>
        <v>728</v>
      </c>
      <c r="H147" s="4">
        <f t="shared" si="2"/>
        <v>656.4</v>
      </c>
      <c r="I147" s="5">
        <f t="shared" si="3"/>
        <v>117.0397368</v>
      </c>
      <c r="J147" s="5">
        <f t="shared" si="4"/>
        <v>2.237069597</v>
      </c>
      <c r="K147" s="1" t="s">
        <v>17</v>
      </c>
      <c r="L147" s="6">
        <f t="shared" si="5"/>
        <v>0.8642857143</v>
      </c>
    </row>
    <row r="148" ht="15.75" customHeight="1">
      <c r="A148" s="8">
        <v>12.0</v>
      </c>
      <c r="B148" s="12" t="s">
        <v>18</v>
      </c>
      <c r="C148" s="14">
        <v>13.0</v>
      </c>
      <c r="D148" s="15" t="s">
        <v>20</v>
      </c>
      <c r="E148" s="8">
        <v>12.0</v>
      </c>
      <c r="F148" s="15">
        <v>2660.0</v>
      </c>
      <c r="G148" s="4">
        <f t="shared" si="1"/>
        <v>612</v>
      </c>
      <c r="H148" s="4">
        <f t="shared" si="2"/>
        <v>519.8</v>
      </c>
      <c r="I148" s="5">
        <f t="shared" si="3"/>
        <v>287.3059345</v>
      </c>
      <c r="J148" s="5">
        <f t="shared" si="4"/>
        <v>2.143589744</v>
      </c>
      <c r="K148" s="1" t="s">
        <v>17</v>
      </c>
      <c r="L148" s="6">
        <f t="shared" si="5"/>
        <v>0.7261904762</v>
      </c>
    </row>
    <row r="149" ht="15.75" customHeight="1">
      <c r="A149" s="8">
        <v>13.0</v>
      </c>
      <c r="B149" s="9" t="s">
        <v>18</v>
      </c>
      <c r="C149" s="14">
        <v>13.0</v>
      </c>
      <c r="D149" s="15" t="s">
        <v>20</v>
      </c>
      <c r="E149" s="8">
        <v>13.0</v>
      </c>
      <c r="F149" s="15">
        <v>2813.0</v>
      </c>
      <c r="G149" s="4">
        <f t="shared" si="1"/>
        <v>765</v>
      </c>
      <c r="H149" s="4">
        <f t="shared" si="2"/>
        <v>402.6</v>
      </c>
      <c r="I149" s="5">
        <f t="shared" si="3"/>
        <v>352.433398</v>
      </c>
      <c r="J149" s="5">
        <f t="shared" si="4"/>
        <v>2.266886447</v>
      </c>
      <c r="K149" s="1" t="s">
        <v>17</v>
      </c>
      <c r="L149" s="6">
        <f t="shared" si="5"/>
        <v>0.9083333333</v>
      </c>
    </row>
    <row r="150" ht="15.75" customHeight="1">
      <c r="A150" s="8">
        <v>14.0</v>
      </c>
      <c r="B150" s="12" t="s">
        <v>18</v>
      </c>
      <c r="C150" s="14">
        <v>13.0</v>
      </c>
      <c r="D150" s="15" t="s">
        <v>20</v>
      </c>
      <c r="E150" s="8">
        <v>14.0</v>
      </c>
      <c r="F150" s="15">
        <v>2521.0</v>
      </c>
      <c r="G150" s="4">
        <f t="shared" si="1"/>
        <v>473</v>
      </c>
      <c r="H150" s="4">
        <f t="shared" si="2"/>
        <v>259.6</v>
      </c>
      <c r="I150" s="5">
        <f t="shared" si="3"/>
        <v>311.2817052</v>
      </c>
      <c r="J150" s="5">
        <f t="shared" si="4"/>
        <v>2.031575092</v>
      </c>
      <c r="K150" s="1" t="s">
        <v>17</v>
      </c>
      <c r="L150" s="6">
        <f t="shared" si="5"/>
        <v>0.5607142857</v>
      </c>
    </row>
    <row r="151" ht="15.75" customHeight="1">
      <c r="A151" s="8">
        <v>15.0</v>
      </c>
      <c r="B151" s="9" t="s">
        <v>18</v>
      </c>
      <c r="C151" s="14">
        <v>13.0</v>
      </c>
      <c r="D151" s="15" t="s">
        <v>20</v>
      </c>
      <c r="E151" s="8">
        <v>15.0</v>
      </c>
      <c r="F151" s="15">
        <v>2752.0</v>
      </c>
      <c r="G151" s="4">
        <f t="shared" si="1"/>
        <v>704</v>
      </c>
      <c r="H151" s="4">
        <f t="shared" si="2"/>
        <v>170.6</v>
      </c>
      <c r="I151" s="5">
        <f t="shared" si="3"/>
        <v>298.3618608</v>
      </c>
      <c r="J151" s="5">
        <f t="shared" si="4"/>
        <v>2.217728938</v>
      </c>
      <c r="K151" s="1" t="s">
        <v>17</v>
      </c>
      <c r="L151" s="6">
        <f t="shared" si="5"/>
        <v>0.8357142857</v>
      </c>
    </row>
    <row r="152" ht="15.75" customHeight="1">
      <c r="A152" s="8">
        <v>1.0</v>
      </c>
      <c r="B152" s="12" t="s">
        <v>19</v>
      </c>
      <c r="C152" s="14">
        <v>17.0</v>
      </c>
      <c r="D152" s="15" t="s">
        <v>14</v>
      </c>
      <c r="E152" s="8">
        <v>1.0</v>
      </c>
      <c r="F152" s="15">
        <v>2093.0</v>
      </c>
      <c r="G152" s="4">
        <f t="shared" si="1"/>
        <v>45</v>
      </c>
      <c r="H152" s="4">
        <f t="shared" si="2"/>
        <v>38.4</v>
      </c>
      <c r="I152" s="5">
        <f t="shared" si="3"/>
        <v>10.73778376</v>
      </c>
      <c r="J152" s="5">
        <f t="shared" si="4"/>
        <v>1.686666667</v>
      </c>
      <c r="K152" s="1" t="s">
        <v>15</v>
      </c>
      <c r="L152" s="6">
        <f t="shared" si="5"/>
        <v>0.05119047619</v>
      </c>
    </row>
    <row r="153" ht="15.75" customHeight="1">
      <c r="A153" s="8">
        <v>2.0</v>
      </c>
      <c r="B153" s="9" t="s">
        <v>19</v>
      </c>
      <c r="C153" s="14">
        <v>17.0</v>
      </c>
      <c r="D153" s="15" t="s">
        <v>14</v>
      </c>
      <c r="E153" s="8">
        <v>2.0</v>
      </c>
      <c r="F153" s="15">
        <v>2074.0</v>
      </c>
      <c r="G153" s="4">
        <f t="shared" si="1"/>
        <v>26</v>
      </c>
      <c r="H153" s="4">
        <f t="shared" si="2"/>
        <v>82.6</v>
      </c>
      <c r="I153" s="5">
        <f t="shared" si="3"/>
        <v>103.018445</v>
      </c>
      <c r="J153" s="5">
        <f t="shared" si="4"/>
        <v>1.671355311</v>
      </c>
      <c r="K153" s="1" t="s">
        <v>15</v>
      </c>
      <c r="L153" s="6">
        <f t="shared" si="5"/>
        <v>0.02857142857</v>
      </c>
    </row>
    <row r="154" ht="15.75" customHeight="1">
      <c r="A154" s="8">
        <v>3.0</v>
      </c>
      <c r="B154" s="12" t="s">
        <v>19</v>
      </c>
      <c r="C154" s="14">
        <v>17.0</v>
      </c>
      <c r="D154" s="15" t="s">
        <v>14</v>
      </c>
      <c r="E154" s="8">
        <v>3.0</v>
      </c>
      <c r="F154" s="15">
        <v>2098.0</v>
      </c>
      <c r="G154" s="4">
        <f t="shared" si="1"/>
        <v>50</v>
      </c>
      <c r="H154" s="4">
        <f t="shared" si="2"/>
        <v>137.8</v>
      </c>
      <c r="I154" s="5">
        <f t="shared" si="3"/>
        <v>134.3026433</v>
      </c>
      <c r="J154" s="5">
        <f t="shared" si="4"/>
        <v>1.690695971</v>
      </c>
      <c r="K154" s="1" t="s">
        <v>15</v>
      </c>
      <c r="L154" s="6">
        <f t="shared" si="5"/>
        <v>0.05714285714</v>
      </c>
    </row>
    <row r="155" ht="15.75" customHeight="1">
      <c r="A155" s="8">
        <v>4.0</v>
      </c>
      <c r="B155" s="9" t="s">
        <v>19</v>
      </c>
      <c r="C155" s="14">
        <v>17.0</v>
      </c>
      <c r="D155" s="15" t="s">
        <v>14</v>
      </c>
      <c r="E155" s="8">
        <v>4.0</v>
      </c>
      <c r="F155" s="15">
        <v>2076.0</v>
      </c>
      <c r="G155" s="4">
        <f t="shared" si="1"/>
        <v>28</v>
      </c>
      <c r="H155" s="4">
        <f t="shared" si="2"/>
        <v>199.6</v>
      </c>
      <c r="I155" s="5">
        <f t="shared" si="3"/>
        <v>153.5197056</v>
      </c>
      <c r="J155" s="5">
        <f t="shared" si="4"/>
        <v>1.672967033</v>
      </c>
      <c r="K155" s="1" t="s">
        <v>15</v>
      </c>
      <c r="L155" s="6">
        <f t="shared" si="5"/>
        <v>0.03095238095</v>
      </c>
    </row>
    <row r="156" ht="15.75" customHeight="1">
      <c r="A156" s="8">
        <v>5.0</v>
      </c>
      <c r="B156" s="12" t="s">
        <v>19</v>
      </c>
      <c r="C156" s="14">
        <v>17.0</v>
      </c>
      <c r="D156" s="15" t="s">
        <v>14</v>
      </c>
      <c r="E156" s="8">
        <v>5.0</v>
      </c>
      <c r="F156" s="15">
        <v>2091.0</v>
      </c>
      <c r="G156" s="4">
        <f t="shared" si="1"/>
        <v>43</v>
      </c>
      <c r="H156" s="4">
        <f t="shared" si="2"/>
        <v>255.2</v>
      </c>
      <c r="I156" s="5">
        <f t="shared" si="3"/>
        <v>123.1775142</v>
      </c>
      <c r="J156" s="5">
        <f t="shared" si="4"/>
        <v>1.685054945</v>
      </c>
      <c r="K156" s="1" t="s">
        <v>15</v>
      </c>
      <c r="L156" s="6">
        <f t="shared" si="5"/>
        <v>0.04880952381</v>
      </c>
    </row>
    <row r="157" ht="15.75" customHeight="1">
      <c r="A157" s="8">
        <v>6.0</v>
      </c>
      <c r="B157" s="9" t="s">
        <v>19</v>
      </c>
      <c r="C157" s="14">
        <v>17.0</v>
      </c>
      <c r="D157" s="15" t="s">
        <v>14</v>
      </c>
      <c r="E157" s="8">
        <v>6.0</v>
      </c>
      <c r="F157" s="15">
        <v>2314.0</v>
      </c>
      <c r="G157" s="4">
        <f t="shared" si="1"/>
        <v>266</v>
      </c>
      <c r="H157" s="4">
        <f t="shared" si="2"/>
        <v>309.6</v>
      </c>
      <c r="I157" s="5">
        <f t="shared" si="3"/>
        <v>33.32116445</v>
      </c>
      <c r="J157" s="5">
        <f t="shared" si="4"/>
        <v>1.864761905</v>
      </c>
      <c r="K157" s="1" t="s">
        <v>16</v>
      </c>
      <c r="L157" s="6">
        <f t="shared" si="5"/>
        <v>0.3142857143</v>
      </c>
    </row>
    <row r="158" ht="15.75" customHeight="1">
      <c r="A158" s="8">
        <v>7.0</v>
      </c>
      <c r="B158" s="12" t="s">
        <v>19</v>
      </c>
      <c r="C158" s="14">
        <v>17.0</v>
      </c>
      <c r="D158" s="15" t="s">
        <v>14</v>
      </c>
      <c r="E158" s="8">
        <v>7.0</v>
      </c>
      <c r="F158" s="15">
        <v>2350.0</v>
      </c>
      <c r="G158" s="4">
        <f t="shared" si="1"/>
        <v>302</v>
      </c>
      <c r="H158" s="4">
        <f t="shared" si="2"/>
        <v>412.8</v>
      </c>
      <c r="I158" s="5">
        <f t="shared" si="3"/>
        <v>207.6359795</v>
      </c>
      <c r="J158" s="5">
        <f t="shared" si="4"/>
        <v>1.893772894</v>
      </c>
      <c r="K158" s="1" t="s">
        <v>16</v>
      </c>
      <c r="L158" s="6">
        <f t="shared" si="5"/>
        <v>0.3571428571</v>
      </c>
    </row>
    <row r="159" ht="15.75" customHeight="1">
      <c r="A159" s="8">
        <v>8.0</v>
      </c>
      <c r="B159" s="9" t="s">
        <v>19</v>
      </c>
      <c r="C159" s="14">
        <v>17.0</v>
      </c>
      <c r="D159" s="15" t="s">
        <v>14</v>
      </c>
      <c r="E159" s="8">
        <v>8.0</v>
      </c>
      <c r="F159" s="15">
        <v>2407.0</v>
      </c>
      <c r="G159" s="4">
        <f t="shared" si="1"/>
        <v>359</v>
      </c>
      <c r="H159" s="4">
        <f t="shared" si="2"/>
        <v>509.6</v>
      </c>
      <c r="I159" s="5">
        <f t="shared" si="3"/>
        <v>251.2972344</v>
      </c>
      <c r="J159" s="5">
        <f t="shared" si="4"/>
        <v>1.93970696</v>
      </c>
      <c r="K159" s="1" t="s">
        <v>16</v>
      </c>
      <c r="L159" s="6">
        <f t="shared" si="5"/>
        <v>0.425</v>
      </c>
    </row>
    <row r="160" ht="15.75" customHeight="1">
      <c r="A160" s="8">
        <v>9.0</v>
      </c>
      <c r="B160" s="12" t="s">
        <v>19</v>
      </c>
      <c r="C160" s="14">
        <v>17.0</v>
      </c>
      <c r="D160" s="15" t="s">
        <v>14</v>
      </c>
      <c r="E160" s="8">
        <v>9.0</v>
      </c>
      <c r="F160" s="15">
        <v>2354.0</v>
      </c>
      <c r="G160" s="4">
        <f t="shared" si="1"/>
        <v>306</v>
      </c>
      <c r="H160" s="4">
        <f t="shared" si="2"/>
        <v>572.2</v>
      </c>
      <c r="I160" s="5">
        <f t="shared" si="3"/>
        <v>243.2595322</v>
      </c>
      <c r="J160" s="5">
        <f t="shared" si="4"/>
        <v>1.896996337</v>
      </c>
      <c r="K160" s="1" t="s">
        <v>16</v>
      </c>
      <c r="L160" s="6">
        <f t="shared" si="5"/>
        <v>0.3619047619</v>
      </c>
    </row>
    <row r="161" ht="15.75" customHeight="1">
      <c r="A161" s="8">
        <v>10.0</v>
      </c>
      <c r="B161" s="9" t="s">
        <v>19</v>
      </c>
      <c r="C161" s="14">
        <v>17.0</v>
      </c>
      <c r="D161" s="15" t="s">
        <v>14</v>
      </c>
      <c r="E161" s="8">
        <v>10.0</v>
      </c>
      <c r="F161" s="15">
        <v>2363.0</v>
      </c>
      <c r="G161" s="4">
        <f t="shared" si="1"/>
        <v>315</v>
      </c>
      <c r="H161" s="4">
        <f t="shared" si="2"/>
        <v>674.6</v>
      </c>
      <c r="I161" s="5">
        <f t="shared" si="3"/>
        <v>208.4629463</v>
      </c>
      <c r="J161" s="5">
        <f t="shared" si="4"/>
        <v>1.904249084</v>
      </c>
      <c r="K161" s="1" t="s">
        <v>16</v>
      </c>
      <c r="L161" s="6">
        <f t="shared" si="5"/>
        <v>0.3726190476</v>
      </c>
    </row>
    <row r="162" ht="15.75" customHeight="1">
      <c r="A162" s="8">
        <v>11.0</v>
      </c>
      <c r="B162" s="12" t="s">
        <v>19</v>
      </c>
      <c r="C162" s="14">
        <v>17.0</v>
      </c>
      <c r="D162" s="15" t="s">
        <v>14</v>
      </c>
      <c r="E162" s="8">
        <v>11.0</v>
      </c>
      <c r="F162" s="15">
        <v>2830.0</v>
      </c>
      <c r="G162" s="4">
        <f t="shared" si="1"/>
        <v>782</v>
      </c>
      <c r="H162" s="4">
        <f t="shared" si="2"/>
        <v>796.6</v>
      </c>
      <c r="I162" s="5">
        <f t="shared" si="3"/>
        <v>90.54722525</v>
      </c>
      <c r="J162" s="5">
        <f t="shared" si="4"/>
        <v>2.280586081</v>
      </c>
      <c r="K162" s="1" t="s">
        <v>17</v>
      </c>
      <c r="L162" s="6">
        <f t="shared" si="5"/>
        <v>0.9285714286</v>
      </c>
    </row>
    <row r="163" ht="15.75" customHeight="1">
      <c r="A163" s="8">
        <v>12.0</v>
      </c>
      <c r="B163" s="9" t="s">
        <v>19</v>
      </c>
      <c r="C163" s="14">
        <v>17.0</v>
      </c>
      <c r="D163" s="15" t="s">
        <v>14</v>
      </c>
      <c r="E163" s="8">
        <v>12.0</v>
      </c>
      <c r="F163" s="15">
        <v>2834.0</v>
      </c>
      <c r="G163" s="4">
        <f t="shared" si="1"/>
        <v>786</v>
      </c>
      <c r="H163" s="4">
        <f t="shared" si="2"/>
        <v>1042.8</v>
      </c>
      <c r="I163" s="5">
        <f t="shared" si="3"/>
        <v>1261.351378</v>
      </c>
      <c r="J163" s="5">
        <f t="shared" si="4"/>
        <v>2.283809524</v>
      </c>
      <c r="K163" s="1" t="s">
        <v>17</v>
      </c>
      <c r="L163" s="6">
        <f t="shared" si="5"/>
        <v>0.9333333333</v>
      </c>
    </row>
    <row r="164" ht="15.75" customHeight="1">
      <c r="A164" s="8">
        <v>13.0</v>
      </c>
      <c r="B164" s="12" t="s">
        <v>19</v>
      </c>
      <c r="C164" s="14">
        <v>17.0</v>
      </c>
      <c r="D164" s="15" t="s">
        <v>14</v>
      </c>
      <c r="E164" s="8">
        <v>13.0</v>
      </c>
      <c r="F164" s="15">
        <v>2720.0</v>
      </c>
      <c r="G164" s="4">
        <f t="shared" si="1"/>
        <v>672</v>
      </c>
      <c r="H164" s="4">
        <f t="shared" si="2"/>
        <v>887.2</v>
      </c>
      <c r="I164" s="5">
        <f t="shared" si="3"/>
        <v>1224.491609</v>
      </c>
      <c r="J164" s="5">
        <f t="shared" si="4"/>
        <v>2.191941392</v>
      </c>
      <c r="K164" s="1" t="s">
        <v>17</v>
      </c>
      <c r="L164" s="6">
        <f t="shared" si="5"/>
        <v>0.7976190476</v>
      </c>
    </row>
    <row r="165" ht="15.75" customHeight="1">
      <c r="A165" s="8">
        <v>14.0</v>
      </c>
      <c r="B165" s="9" t="s">
        <v>19</v>
      </c>
      <c r="C165" s="14">
        <v>17.0</v>
      </c>
      <c r="D165" s="15" t="s">
        <v>14</v>
      </c>
      <c r="E165" s="8">
        <v>14.0</v>
      </c>
      <c r="F165" s="15">
        <v>2866.0</v>
      </c>
      <c r="G165" s="4">
        <f t="shared" si="1"/>
        <v>818</v>
      </c>
      <c r="H165" s="4">
        <f t="shared" si="2"/>
        <v>756.4</v>
      </c>
      <c r="I165" s="5">
        <f t="shared" si="3"/>
        <v>1178.959584</v>
      </c>
      <c r="J165" s="5">
        <f t="shared" si="4"/>
        <v>2.30959707</v>
      </c>
      <c r="K165" s="1" t="s">
        <v>17</v>
      </c>
      <c r="L165" s="6">
        <f t="shared" si="5"/>
        <v>0.9714285714</v>
      </c>
    </row>
    <row r="166" ht="15.75" customHeight="1">
      <c r="A166" s="8">
        <v>15.0</v>
      </c>
      <c r="B166" s="12" t="s">
        <v>19</v>
      </c>
      <c r="C166" s="14">
        <v>17.0</v>
      </c>
      <c r="D166" s="15" t="s">
        <v>14</v>
      </c>
      <c r="E166" s="8">
        <v>15.0</v>
      </c>
      <c r="F166" s="15">
        <v>2973.0</v>
      </c>
      <c r="G166" s="4">
        <f t="shared" si="1"/>
        <v>925</v>
      </c>
      <c r="H166" s="4">
        <f t="shared" si="2"/>
        <v>594.8</v>
      </c>
      <c r="I166" s="5">
        <f t="shared" si="3"/>
        <v>1078.84276</v>
      </c>
      <c r="J166" s="5">
        <f t="shared" si="4"/>
        <v>2.395824176</v>
      </c>
      <c r="K166" s="1" t="s">
        <v>17</v>
      </c>
      <c r="L166" s="6">
        <f t="shared" si="5"/>
        <v>1.098809524</v>
      </c>
    </row>
    <row r="167" ht="15.75" customHeight="1">
      <c r="A167" s="8">
        <v>1.0</v>
      </c>
      <c r="B167" s="9" t="s">
        <v>21</v>
      </c>
      <c r="C167" s="3">
        <v>18.0</v>
      </c>
      <c r="D167" s="15" t="s">
        <v>14</v>
      </c>
      <c r="E167" s="8">
        <v>1.0</v>
      </c>
      <c r="F167" s="1">
        <v>35.0</v>
      </c>
      <c r="G167" s="4">
        <f t="shared" si="1"/>
        <v>2013</v>
      </c>
      <c r="H167" s="4">
        <f t="shared" si="2"/>
        <v>413</v>
      </c>
      <c r="I167" s="5">
        <f t="shared" si="3"/>
        <v>894.4366942</v>
      </c>
      <c r="J167" s="5">
        <f t="shared" si="4"/>
        <v>0.02820512821</v>
      </c>
      <c r="K167" s="1" t="s">
        <v>15</v>
      </c>
      <c r="L167" s="6">
        <f t="shared" si="5"/>
        <v>2.394047619</v>
      </c>
    </row>
    <row r="168" ht="15.75" customHeight="1">
      <c r="A168" s="8">
        <v>2.0</v>
      </c>
      <c r="B168" s="12" t="s">
        <v>21</v>
      </c>
      <c r="C168" s="3">
        <v>18.0</v>
      </c>
      <c r="D168" s="15" t="s">
        <v>14</v>
      </c>
      <c r="E168" s="8">
        <v>2.0</v>
      </c>
      <c r="F168" s="1">
        <v>2040.0</v>
      </c>
      <c r="G168" s="4">
        <f t="shared" si="1"/>
        <v>8</v>
      </c>
      <c r="H168" s="4">
        <f t="shared" si="2"/>
        <v>43.8</v>
      </c>
      <c r="I168" s="5">
        <f t="shared" si="3"/>
        <v>80.60397013</v>
      </c>
      <c r="J168" s="5">
        <f t="shared" si="4"/>
        <v>1.643956044</v>
      </c>
      <c r="K168" s="1" t="s">
        <v>15</v>
      </c>
      <c r="L168" s="6">
        <f t="shared" si="5"/>
        <v>0.007142857143</v>
      </c>
    </row>
    <row r="169" ht="15.75" customHeight="1">
      <c r="A169" s="8">
        <v>3.0</v>
      </c>
      <c r="B169" s="9" t="s">
        <v>21</v>
      </c>
      <c r="C169" s="3">
        <v>18.0</v>
      </c>
      <c r="D169" s="15" t="s">
        <v>14</v>
      </c>
      <c r="E169" s="8">
        <v>3.0</v>
      </c>
      <c r="F169" s="1">
        <v>2030.0</v>
      </c>
      <c r="G169" s="4">
        <f t="shared" si="1"/>
        <v>18</v>
      </c>
      <c r="H169" s="4">
        <f t="shared" si="2"/>
        <v>78.6</v>
      </c>
      <c r="I169" s="5">
        <f t="shared" si="3"/>
        <v>103.788246</v>
      </c>
      <c r="J169" s="5">
        <f t="shared" si="4"/>
        <v>1.635897436</v>
      </c>
      <c r="K169" s="1" t="s">
        <v>15</v>
      </c>
      <c r="L169" s="6">
        <f t="shared" si="5"/>
        <v>0.01904761905</v>
      </c>
    </row>
    <row r="170" ht="15.75" customHeight="1">
      <c r="A170" s="8">
        <v>4.0</v>
      </c>
      <c r="B170" s="12" t="s">
        <v>21</v>
      </c>
      <c r="C170" s="3">
        <v>18.0</v>
      </c>
      <c r="D170" s="15" t="s">
        <v>14</v>
      </c>
      <c r="E170" s="8">
        <v>4.0</v>
      </c>
      <c r="F170" s="1">
        <v>2038.0</v>
      </c>
      <c r="G170" s="4">
        <f t="shared" si="1"/>
        <v>10</v>
      </c>
      <c r="H170" s="4">
        <f t="shared" si="2"/>
        <v>109.4</v>
      </c>
      <c r="I170" s="5">
        <f t="shared" si="3"/>
        <v>102.4060545</v>
      </c>
      <c r="J170" s="5">
        <f t="shared" si="4"/>
        <v>1.642344322</v>
      </c>
      <c r="K170" s="1" t="s">
        <v>15</v>
      </c>
      <c r="L170" s="6">
        <f t="shared" si="5"/>
        <v>0.009523809524</v>
      </c>
    </row>
    <row r="171" ht="15.75" customHeight="1">
      <c r="A171" s="8">
        <v>5.0</v>
      </c>
      <c r="B171" s="9" t="s">
        <v>21</v>
      </c>
      <c r="C171" s="3">
        <v>18.0</v>
      </c>
      <c r="D171" s="15" t="s">
        <v>14</v>
      </c>
      <c r="E171" s="8">
        <v>5.0</v>
      </c>
      <c r="F171" s="1">
        <v>2032.0</v>
      </c>
      <c r="G171" s="4">
        <f t="shared" si="1"/>
        <v>16</v>
      </c>
      <c r="H171" s="4">
        <f t="shared" si="2"/>
        <v>142.8</v>
      </c>
      <c r="I171" s="5">
        <f t="shared" si="3"/>
        <v>85.37739748</v>
      </c>
      <c r="J171" s="5">
        <f t="shared" si="4"/>
        <v>1.637509158</v>
      </c>
      <c r="K171" s="1" t="s">
        <v>15</v>
      </c>
      <c r="L171" s="6">
        <f t="shared" si="5"/>
        <v>0.01666666667</v>
      </c>
    </row>
    <row r="172" ht="15.75" customHeight="1">
      <c r="A172" s="8">
        <v>6.0</v>
      </c>
      <c r="B172" s="12" t="s">
        <v>21</v>
      </c>
      <c r="C172" s="3">
        <v>18.0</v>
      </c>
      <c r="D172" s="15" t="s">
        <v>14</v>
      </c>
      <c r="E172" s="8">
        <v>6.0</v>
      </c>
      <c r="F172" s="1">
        <v>2215.0</v>
      </c>
      <c r="G172" s="4">
        <f t="shared" si="1"/>
        <v>167</v>
      </c>
      <c r="H172" s="4">
        <f t="shared" si="2"/>
        <v>177</v>
      </c>
      <c r="I172" s="5">
        <f t="shared" si="3"/>
        <v>7.90569415</v>
      </c>
      <c r="J172" s="5">
        <f t="shared" si="4"/>
        <v>1.784981685</v>
      </c>
      <c r="K172" s="1" t="s">
        <v>16</v>
      </c>
      <c r="L172" s="6">
        <f t="shared" si="5"/>
        <v>0.1964285714</v>
      </c>
    </row>
    <row r="173" ht="15.75" customHeight="1">
      <c r="A173" s="8">
        <v>7.0</v>
      </c>
      <c r="B173" s="9" t="s">
        <v>21</v>
      </c>
      <c r="C173" s="3">
        <v>18.0</v>
      </c>
      <c r="D173" s="15" t="s">
        <v>14</v>
      </c>
      <c r="E173" s="8">
        <v>7.0</v>
      </c>
      <c r="F173" s="1">
        <v>2230.0</v>
      </c>
      <c r="G173" s="4">
        <f t="shared" si="1"/>
        <v>182</v>
      </c>
      <c r="H173" s="4">
        <f t="shared" si="2"/>
        <v>249</v>
      </c>
      <c r="I173" s="5">
        <f t="shared" si="3"/>
        <v>155.5072346</v>
      </c>
      <c r="J173" s="5">
        <f t="shared" si="4"/>
        <v>1.797069597</v>
      </c>
      <c r="K173" s="1" t="s">
        <v>16</v>
      </c>
      <c r="L173" s="6">
        <f t="shared" si="5"/>
        <v>0.2142857143</v>
      </c>
    </row>
    <row r="174" ht="15.75" customHeight="1">
      <c r="A174" s="8">
        <v>8.0</v>
      </c>
      <c r="B174" s="12" t="s">
        <v>21</v>
      </c>
      <c r="C174" s="3">
        <v>18.0</v>
      </c>
      <c r="D174" s="15" t="s">
        <v>14</v>
      </c>
      <c r="E174" s="8">
        <v>8.0</v>
      </c>
      <c r="F174" s="1">
        <v>2220.0</v>
      </c>
      <c r="G174" s="4">
        <f t="shared" si="1"/>
        <v>172</v>
      </c>
      <c r="H174" s="4">
        <f t="shared" si="2"/>
        <v>321</v>
      </c>
      <c r="I174" s="5">
        <f t="shared" si="3"/>
        <v>195.0448666</v>
      </c>
      <c r="J174" s="5">
        <f t="shared" si="4"/>
        <v>1.789010989</v>
      </c>
      <c r="K174" s="1" t="s">
        <v>16</v>
      </c>
      <c r="L174" s="6">
        <f t="shared" si="5"/>
        <v>0.2023809524</v>
      </c>
    </row>
    <row r="175" ht="15.75" customHeight="1">
      <c r="A175" s="8">
        <v>9.0</v>
      </c>
      <c r="B175" s="9" t="s">
        <v>21</v>
      </c>
      <c r="C175" s="3">
        <v>18.0</v>
      </c>
      <c r="D175" s="15" t="s">
        <v>14</v>
      </c>
      <c r="E175" s="8">
        <v>9.0</v>
      </c>
      <c r="F175" s="1">
        <v>2225.0</v>
      </c>
      <c r="G175" s="4">
        <f t="shared" si="1"/>
        <v>177</v>
      </c>
      <c r="H175" s="4">
        <f t="shared" si="2"/>
        <v>393</v>
      </c>
      <c r="I175" s="5">
        <f t="shared" si="3"/>
        <v>192.7238958</v>
      </c>
      <c r="J175" s="5">
        <f t="shared" si="4"/>
        <v>1.793040293</v>
      </c>
      <c r="K175" s="1" t="s">
        <v>16</v>
      </c>
      <c r="L175" s="6">
        <f t="shared" si="5"/>
        <v>0.2083333333</v>
      </c>
    </row>
    <row r="176" ht="15.75" customHeight="1">
      <c r="A176" s="8">
        <v>10.0</v>
      </c>
      <c r="B176" s="12" t="s">
        <v>21</v>
      </c>
      <c r="C176" s="3">
        <v>18.0</v>
      </c>
      <c r="D176" s="15" t="s">
        <v>14</v>
      </c>
      <c r="E176" s="8">
        <v>10.0</v>
      </c>
      <c r="F176" s="1">
        <v>2235.0</v>
      </c>
      <c r="G176" s="4">
        <f t="shared" si="1"/>
        <v>187</v>
      </c>
      <c r="H176" s="4">
        <f t="shared" si="2"/>
        <v>465</v>
      </c>
      <c r="I176" s="5">
        <f t="shared" si="3"/>
        <v>155.5072346</v>
      </c>
      <c r="J176" s="5">
        <f t="shared" si="4"/>
        <v>1.801098901</v>
      </c>
      <c r="K176" s="1" t="s">
        <v>16</v>
      </c>
      <c r="L176" s="6">
        <f t="shared" si="5"/>
        <v>0.2202380952</v>
      </c>
    </row>
    <row r="177" ht="15.75" customHeight="1">
      <c r="A177" s="8">
        <v>11.0</v>
      </c>
      <c r="B177" s="9" t="s">
        <v>21</v>
      </c>
      <c r="C177" s="3">
        <v>18.0</v>
      </c>
      <c r="D177" s="15" t="s">
        <v>14</v>
      </c>
      <c r="E177" s="8">
        <v>11.0</v>
      </c>
      <c r="F177" s="1">
        <v>2575.0</v>
      </c>
      <c r="G177" s="4">
        <f t="shared" si="1"/>
        <v>527</v>
      </c>
      <c r="H177" s="4">
        <f t="shared" si="2"/>
        <v>537</v>
      </c>
      <c r="I177" s="5">
        <f t="shared" si="3"/>
        <v>7.90569415</v>
      </c>
      <c r="J177" s="5">
        <f t="shared" si="4"/>
        <v>2.075091575</v>
      </c>
      <c r="K177" s="1" t="s">
        <v>17</v>
      </c>
      <c r="L177" s="6">
        <f t="shared" si="5"/>
        <v>0.625</v>
      </c>
    </row>
    <row r="178" ht="15.75" customHeight="1">
      <c r="A178" s="8">
        <v>12.0</v>
      </c>
      <c r="B178" s="12" t="s">
        <v>21</v>
      </c>
      <c r="C178" s="3">
        <v>18.0</v>
      </c>
      <c r="D178" s="15" t="s">
        <v>14</v>
      </c>
      <c r="E178" s="8">
        <v>12.0</v>
      </c>
      <c r="F178" s="1">
        <v>2590.0</v>
      </c>
      <c r="G178" s="4">
        <f t="shared" si="1"/>
        <v>542</v>
      </c>
      <c r="H178" s="4">
        <f t="shared" si="2"/>
        <v>439.2</v>
      </c>
      <c r="I178" s="5">
        <f t="shared" si="3"/>
        <v>258.326344</v>
      </c>
      <c r="J178" s="5">
        <f t="shared" si="4"/>
        <v>2.087179487</v>
      </c>
      <c r="K178" s="1" t="s">
        <v>17</v>
      </c>
      <c r="L178" s="6">
        <f t="shared" si="5"/>
        <v>0.6428571429</v>
      </c>
    </row>
    <row r="179" ht="15.75" customHeight="1">
      <c r="A179" s="8">
        <v>13.0</v>
      </c>
      <c r="B179" s="9" t="s">
        <v>21</v>
      </c>
      <c r="C179" s="3">
        <v>18.0</v>
      </c>
      <c r="D179" s="15" t="s">
        <v>14</v>
      </c>
      <c r="E179" s="8">
        <v>13.0</v>
      </c>
      <c r="F179" s="1">
        <v>2580.0</v>
      </c>
      <c r="G179" s="4">
        <f t="shared" si="1"/>
        <v>532</v>
      </c>
      <c r="H179" s="4">
        <f t="shared" si="2"/>
        <v>337.4</v>
      </c>
      <c r="I179" s="5">
        <f t="shared" si="3"/>
        <v>314.5353716</v>
      </c>
      <c r="J179" s="5">
        <f t="shared" si="4"/>
        <v>2.079120879</v>
      </c>
      <c r="K179" s="1" t="s">
        <v>17</v>
      </c>
      <c r="L179" s="6">
        <f t="shared" si="5"/>
        <v>0.630952381</v>
      </c>
    </row>
    <row r="180" ht="15.75" customHeight="1">
      <c r="A180" s="8">
        <v>14.0</v>
      </c>
      <c r="B180" s="12" t="s">
        <v>21</v>
      </c>
      <c r="C180" s="3">
        <v>18.0</v>
      </c>
      <c r="D180" s="15" t="s">
        <v>14</v>
      </c>
      <c r="E180" s="8">
        <v>14.0</v>
      </c>
      <c r="F180" s="1">
        <v>2585.0</v>
      </c>
      <c r="G180" s="4">
        <f t="shared" si="1"/>
        <v>537</v>
      </c>
      <c r="H180" s="4">
        <f t="shared" si="2"/>
        <v>239.6</v>
      </c>
      <c r="I180" s="5">
        <f t="shared" si="3"/>
        <v>317.7184288</v>
      </c>
      <c r="J180" s="5">
        <f t="shared" si="4"/>
        <v>2.083150183</v>
      </c>
      <c r="K180" s="1" t="s">
        <v>17</v>
      </c>
      <c r="L180" s="6">
        <f t="shared" si="5"/>
        <v>0.6369047619</v>
      </c>
    </row>
    <row r="181" ht="15.75" customHeight="1">
      <c r="A181" s="8">
        <v>15.0</v>
      </c>
      <c r="B181" s="9" t="s">
        <v>21</v>
      </c>
      <c r="C181" s="3">
        <v>18.0</v>
      </c>
      <c r="D181" s="15" t="s">
        <v>14</v>
      </c>
      <c r="E181" s="8">
        <v>15.0</v>
      </c>
      <c r="F181" s="1">
        <v>2595.0</v>
      </c>
      <c r="G181" s="4">
        <f t="shared" si="1"/>
        <v>547</v>
      </c>
      <c r="H181" s="4">
        <f t="shared" si="2"/>
        <v>139.4</v>
      </c>
      <c r="I181" s="5">
        <f t="shared" si="3"/>
        <v>261.42169</v>
      </c>
      <c r="J181" s="5">
        <f t="shared" si="4"/>
        <v>2.091208791</v>
      </c>
      <c r="K181" s="1" t="s">
        <v>17</v>
      </c>
      <c r="L181" s="6">
        <f t="shared" si="5"/>
        <v>0.6488095238</v>
      </c>
    </row>
    <row r="182" ht="15.75" customHeight="1">
      <c r="A182" s="3">
        <v>1.0</v>
      </c>
      <c r="B182" s="13" t="s">
        <v>22</v>
      </c>
      <c r="C182" s="3">
        <v>14.0</v>
      </c>
      <c r="D182" s="15" t="s">
        <v>20</v>
      </c>
      <c r="E182" s="8">
        <v>1.0</v>
      </c>
      <c r="F182" s="1">
        <v>2010.0</v>
      </c>
      <c r="G182" s="4">
        <f t="shared" si="1"/>
        <v>38</v>
      </c>
      <c r="H182" s="4">
        <f t="shared" si="2"/>
        <v>38</v>
      </c>
      <c r="I182" s="5">
        <f t="shared" si="3"/>
        <v>3.807886553</v>
      </c>
      <c r="J182" s="5">
        <f t="shared" si="4"/>
        <v>1.61978022</v>
      </c>
      <c r="K182" s="1" t="s">
        <v>15</v>
      </c>
      <c r="L182" s="6">
        <f t="shared" si="5"/>
        <v>0.04285714286</v>
      </c>
    </row>
    <row r="183" ht="15.75" customHeight="1">
      <c r="A183" s="3">
        <v>2.0</v>
      </c>
      <c r="B183" s="13" t="s">
        <v>22</v>
      </c>
      <c r="C183" s="3">
        <v>14.0</v>
      </c>
      <c r="D183" s="15" t="s">
        <v>20</v>
      </c>
      <c r="E183" s="8">
        <v>2.0</v>
      </c>
      <c r="F183" s="1">
        <v>2015.0</v>
      </c>
      <c r="G183" s="4">
        <f t="shared" si="1"/>
        <v>33</v>
      </c>
      <c r="H183" s="4">
        <f t="shared" si="2"/>
        <v>64.8</v>
      </c>
      <c r="I183" s="5">
        <f t="shared" si="3"/>
        <v>93.99202094</v>
      </c>
      <c r="J183" s="5">
        <f t="shared" si="4"/>
        <v>1.623809524</v>
      </c>
      <c r="K183" s="1" t="s">
        <v>15</v>
      </c>
      <c r="L183" s="6">
        <f t="shared" si="5"/>
        <v>0.0369047619</v>
      </c>
    </row>
    <row r="184" ht="15.75" customHeight="1">
      <c r="A184" s="3">
        <v>3.0</v>
      </c>
      <c r="B184" s="13" t="s">
        <v>22</v>
      </c>
      <c r="C184" s="3">
        <v>14.0</v>
      </c>
      <c r="D184" s="15" t="s">
        <v>20</v>
      </c>
      <c r="E184" s="8">
        <v>3.0</v>
      </c>
      <c r="F184" s="1">
        <v>2005.0</v>
      </c>
      <c r="G184" s="4">
        <f t="shared" si="1"/>
        <v>43</v>
      </c>
      <c r="H184" s="4">
        <f t="shared" si="2"/>
        <v>95.6</v>
      </c>
      <c r="I184" s="5">
        <f t="shared" si="3"/>
        <v>120.1852736</v>
      </c>
      <c r="J184" s="5">
        <f t="shared" si="4"/>
        <v>1.615750916</v>
      </c>
      <c r="K184" s="1" t="s">
        <v>15</v>
      </c>
      <c r="L184" s="6">
        <f t="shared" si="5"/>
        <v>0.04880952381</v>
      </c>
    </row>
    <row r="185" ht="15.75" customHeight="1">
      <c r="A185" s="3">
        <v>4.0</v>
      </c>
      <c r="B185" s="13" t="s">
        <v>22</v>
      </c>
      <c r="C185" s="3">
        <v>14.0</v>
      </c>
      <c r="D185" s="15" t="s">
        <v>20</v>
      </c>
      <c r="E185" s="8">
        <v>4.0</v>
      </c>
      <c r="F185" s="1">
        <v>2012.0</v>
      </c>
      <c r="G185" s="4">
        <f t="shared" si="1"/>
        <v>36</v>
      </c>
      <c r="H185" s="4">
        <f t="shared" si="2"/>
        <v>123.4</v>
      </c>
      <c r="I185" s="5">
        <f t="shared" si="3"/>
        <v>119.7163314</v>
      </c>
      <c r="J185" s="5">
        <f t="shared" si="4"/>
        <v>1.621391941</v>
      </c>
      <c r="K185" s="1" t="s">
        <v>15</v>
      </c>
      <c r="L185" s="6">
        <f t="shared" si="5"/>
        <v>0.04047619048</v>
      </c>
    </row>
    <row r="186" ht="15.75" customHeight="1">
      <c r="A186" s="3">
        <v>5.0</v>
      </c>
      <c r="B186" s="13" t="s">
        <v>22</v>
      </c>
      <c r="C186" s="3">
        <v>14.0</v>
      </c>
      <c r="D186" s="15" t="s">
        <v>20</v>
      </c>
      <c r="E186" s="8">
        <v>5.0</v>
      </c>
      <c r="F186" s="1">
        <v>2008.0</v>
      </c>
      <c r="G186" s="4">
        <f t="shared" si="1"/>
        <v>40</v>
      </c>
      <c r="H186" s="4">
        <f t="shared" si="2"/>
        <v>151.6</v>
      </c>
      <c r="I186" s="5">
        <f t="shared" si="3"/>
        <v>98.32242877</v>
      </c>
      <c r="J186" s="5">
        <f t="shared" si="4"/>
        <v>1.618168498</v>
      </c>
      <c r="K186" s="1" t="s">
        <v>15</v>
      </c>
      <c r="L186" s="6">
        <f t="shared" si="5"/>
        <v>0.04523809524</v>
      </c>
    </row>
    <row r="187" ht="15.75" customHeight="1">
      <c r="A187" s="3">
        <v>6.0</v>
      </c>
      <c r="B187" s="13" t="s">
        <v>22</v>
      </c>
      <c r="C187" s="3">
        <v>14.0</v>
      </c>
      <c r="D187" s="15" t="s">
        <v>20</v>
      </c>
      <c r="E187" s="8">
        <v>6.0</v>
      </c>
      <c r="F187" s="1">
        <v>2220.0</v>
      </c>
      <c r="G187" s="4">
        <f t="shared" si="1"/>
        <v>172</v>
      </c>
      <c r="H187" s="4">
        <f t="shared" si="2"/>
        <v>182</v>
      </c>
      <c r="I187" s="5">
        <f t="shared" si="3"/>
        <v>7.90569415</v>
      </c>
      <c r="J187" s="5">
        <f t="shared" si="4"/>
        <v>1.789010989</v>
      </c>
      <c r="K187" s="1" t="s">
        <v>16</v>
      </c>
      <c r="L187" s="6">
        <f t="shared" si="5"/>
        <v>0.2023809524</v>
      </c>
    </row>
    <row r="188" ht="15.75" customHeight="1">
      <c r="A188" s="3">
        <v>7.0</v>
      </c>
      <c r="B188" s="13" t="s">
        <v>22</v>
      </c>
      <c r="C188" s="3">
        <v>14.0</v>
      </c>
      <c r="D188" s="15" t="s">
        <v>20</v>
      </c>
      <c r="E188" s="8">
        <v>7.0</v>
      </c>
      <c r="F188" s="1">
        <v>2235.0</v>
      </c>
      <c r="G188" s="4">
        <f t="shared" si="1"/>
        <v>187</v>
      </c>
      <c r="H188" s="4">
        <f t="shared" si="2"/>
        <v>246</v>
      </c>
      <c r="I188" s="5">
        <f t="shared" si="3"/>
        <v>137.6317551</v>
      </c>
      <c r="J188" s="5">
        <f t="shared" si="4"/>
        <v>1.801098901</v>
      </c>
      <c r="K188" s="1" t="s">
        <v>16</v>
      </c>
      <c r="L188" s="6">
        <f t="shared" si="5"/>
        <v>0.2202380952</v>
      </c>
    </row>
    <row r="189" ht="15.75" customHeight="1">
      <c r="A189" s="3">
        <v>8.0</v>
      </c>
      <c r="B189" s="13" t="s">
        <v>22</v>
      </c>
      <c r="C189" s="3">
        <v>14.0</v>
      </c>
      <c r="D189" s="15" t="s">
        <v>20</v>
      </c>
      <c r="E189" s="8">
        <v>8.0</v>
      </c>
      <c r="F189" s="1">
        <v>2230.0</v>
      </c>
      <c r="G189" s="4">
        <f t="shared" si="1"/>
        <v>182</v>
      </c>
      <c r="H189" s="4">
        <f t="shared" si="2"/>
        <v>310</v>
      </c>
      <c r="I189" s="5">
        <f t="shared" si="3"/>
        <v>173.1545552</v>
      </c>
      <c r="J189" s="5">
        <f t="shared" si="4"/>
        <v>1.797069597</v>
      </c>
      <c r="K189" s="1" t="s">
        <v>16</v>
      </c>
      <c r="L189" s="6">
        <f t="shared" si="5"/>
        <v>0.2142857143</v>
      </c>
    </row>
    <row r="190" ht="15.75" customHeight="1">
      <c r="A190" s="3">
        <v>9.0</v>
      </c>
      <c r="B190" s="13" t="s">
        <v>22</v>
      </c>
      <c r="C190" s="3">
        <v>14.0</v>
      </c>
      <c r="D190" s="15" t="s">
        <v>20</v>
      </c>
      <c r="E190" s="8">
        <v>9.0</v>
      </c>
      <c r="F190" s="1">
        <v>2225.0</v>
      </c>
      <c r="G190" s="4">
        <f t="shared" si="1"/>
        <v>177</v>
      </c>
      <c r="H190" s="4">
        <f t="shared" si="2"/>
        <v>373</v>
      </c>
      <c r="I190" s="5">
        <f t="shared" si="3"/>
        <v>172.2425615</v>
      </c>
      <c r="J190" s="5">
        <f t="shared" si="4"/>
        <v>1.793040293</v>
      </c>
      <c r="K190" s="1" t="s">
        <v>16</v>
      </c>
      <c r="L190" s="6">
        <f t="shared" si="5"/>
        <v>0.2083333333</v>
      </c>
    </row>
    <row r="191" ht="15.75" customHeight="1">
      <c r="A191" s="3">
        <v>10.0</v>
      </c>
      <c r="B191" s="13" t="s">
        <v>22</v>
      </c>
      <c r="C191" s="3">
        <v>14.0</v>
      </c>
      <c r="D191" s="15" t="s">
        <v>20</v>
      </c>
      <c r="E191" s="8">
        <v>10.0</v>
      </c>
      <c r="F191" s="1">
        <v>2240.0</v>
      </c>
      <c r="G191" s="4">
        <f t="shared" si="1"/>
        <v>192</v>
      </c>
      <c r="H191" s="4">
        <f t="shared" si="2"/>
        <v>438</v>
      </c>
      <c r="I191" s="5">
        <f t="shared" si="3"/>
        <v>137.6317551</v>
      </c>
      <c r="J191" s="5">
        <f t="shared" si="4"/>
        <v>1.805128205</v>
      </c>
      <c r="K191" s="1" t="s">
        <v>16</v>
      </c>
      <c r="L191" s="6">
        <f t="shared" si="5"/>
        <v>0.2261904762</v>
      </c>
    </row>
    <row r="192" ht="15.75" customHeight="1">
      <c r="A192" s="3">
        <v>11.0</v>
      </c>
      <c r="B192" s="13" t="s">
        <v>22</v>
      </c>
      <c r="C192" s="3">
        <v>14.0</v>
      </c>
      <c r="D192" s="15" t="s">
        <v>20</v>
      </c>
      <c r="E192" s="8">
        <v>11.0</v>
      </c>
      <c r="F192" s="1">
        <v>2540.0</v>
      </c>
      <c r="G192" s="4">
        <f t="shared" si="1"/>
        <v>492</v>
      </c>
      <c r="H192" s="4">
        <f t="shared" si="2"/>
        <v>501.6</v>
      </c>
      <c r="I192" s="5">
        <f t="shared" si="3"/>
        <v>7.300684899</v>
      </c>
      <c r="J192" s="5">
        <f t="shared" si="4"/>
        <v>2.046886447</v>
      </c>
      <c r="K192" s="1" t="s">
        <v>17</v>
      </c>
      <c r="L192" s="6">
        <f t="shared" si="5"/>
        <v>0.5833333333</v>
      </c>
    </row>
    <row r="193" ht="15.75" customHeight="1">
      <c r="A193" s="3">
        <v>12.0</v>
      </c>
      <c r="B193" s="13" t="s">
        <v>22</v>
      </c>
      <c r="C193" s="3">
        <v>14.0</v>
      </c>
      <c r="D193" s="15" t="s">
        <v>20</v>
      </c>
      <c r="E193" s="8">
        <v>12.0</v>
      </c>
      <c r="F193" s="1">
        <v>2555.0</v>
      </c>
      <c r="G193" s="4">
        <f t="shared" si="1"/>
        <v>507</v>
      </c>
      <c r="H193" s="4">
        <f t="shared" si="2"/>
        <v>419.8</v>
      </c>
      <c r="I193" s="5">
        <f t="shared" si="3"/>
        <v>262.5610405</v>
      </c>
      <c r="J193" s="5">
        <f t="shared" si="4"/>
        <v>2.058974359</v>
      </c>
      <c r="K193" s="1" t="s">
        <v>17</v>
      </c>
      <c r="L193" s="6">
        <f t="shared" si="5"/>
        <v>0.6011904762</v>
      </c>
    </row>
    <row r="194" ht="15.75" customHeight="1">
      <c r="A194" s="3">
        <v>13.0</v>
      </c>
      <c r="B194" s="13" t="s">
        <v>22</v>
      </c>
      <c r="C194" s="3">
        <v>14.0</v>
      </c>
      <c r="D194" s="15" t="s">
        <v>20</v>
      </c>
      <c r="E194" s="8">
        <v>13.0</v>
      </c>
      <c r="F194" s="1">
        <v>2545.0</v>
      </c>
      <c r="G194" s="4">
        <f t="shared" si="1"/>
        <v>497</v>
      </c>
      <c r="H194" s="4">
        <f t="shared" si="2"/>
        <v>334</v>
      </c>
      <c r="I194" s="5">
        <f t="shared" si="3"/>
        <v>319.6346352</v>
      </c>
      <c r="J194" s="5">
        <f t="shared" si="4"/>
        <v>2.050915751</v>
      </c>
      <c r="K194" s="1" t="s">
        <v>17</v>
      </c>
      <c r="L194" s="6">
        <f t="shared" si="5"/>
        <v>0.5892857143</v>
      </c>
    </row>
    <row r="195" ht="15.75" customHeight="1">
      <c r="A195" s="3">
        <v>14.0</v>
      </c>
      <c r="B195" s="13" t="s">
        <v>22</v>
      </c>
      <c r="C195" s="3">
        <v>14.0</v>
      </c>
      <c r="D195" s="15" t="s">
        <v>20</v>
      </c>
      <c r="E195" s="8">
        <v>14.0</v>
      </c>
      <c r="F195" s="1">
        <v>2550.0</v>
      </c>
      <c r="G195" s="4">
        <f t="shared" si="1"/>
        <v>502</v>
      </c>
      <c r="H195" s="4">
        <f t="shared" si="2"/>
        <v>252.2</v>
      </c>
      <c r="I195" s="5">
        <f t="shared" si="3"/>
        <v>322.6403571</v>
      </c>
      <c r="J195" s="5">
        <f t="shared" si="4"/>
        <v>2.054945055</v>
      </c>
      <c r="K195" s="1" t="s">
        <v>17</v>
      </c>
      <c r="L195" s="6">
        <f t="shared" si="5"/>
        <v>0.5952380952</v>
      </c>
    </row>
    <row r="196" ht="15.75" customHeight="1">
      <c r="A196" s="3">
        <v>15.0</v>
      </c>
      <c r="B196" s="13" t="s">
        <v>22</v>
      </c>
      <c r="C196" s="3">
        <v>14.0</v>
      </c>
      <c r="D196" s="15" t="s">
        <v>20</v>
      </c>
      <c r="E196" s="8">
        <v>15.0</v>
      </c>
      <c r="F196" s="1">
        <v>2558.0</v>
      </c>
      <c r="G196" s="4">
        <f t="shared" si="1"/>
        <v>510</v>
      </c>
      <c r="H196" s="4">
        <f t="shared" si="2"/>
        <v>167.8</v>
      </c>
      <c r="I196" s="5">
        <f t="shared" si="3"/>
        <v>264.8890334</v>
      </c>
      <c r="J196" s="5">
        <f t="shared" si="4"/>
        <v>2.061391941</v>
      </c>
      <c r="K196" s="1" t="s">
        <v>17</v>
      </c>
      <c r="L196" s="6">
        <f t="shared" si="5"/>
        <v>0.6047619048</v>
      </c>
    </row>
    <row r="197" ht="15.75" customHeight="1">
      <c r="A197" s="3">
        <v>1.0</v>
      </c>
      <c r="B197" s="1" t="s">
        <v>23</v>
      </c>
      <c r="C197" s="3">
        <v>18.0</v>
      </c>
      <c r="D197" s="15" t="s">
        <v>14</v>
      </c>
      <c r="E197" s="8">
        <v>1.0</v>
      </c>
      <c r="F197" s="1">
        <v>1965.0</v>
      </c>
      <c r="G197" s="4">
        <f t="shared" si="1"/>
        <v>83</v>
      </c>
      <c r="H197" s="4">
        <f t="shared" si="2"/>
        <v>83</v>
      </c>
      <c r="I197" s="5">
        <f t="shared" si="3"/>
        <v>4.123105626</v>
      </c>
      <c r="J197" s="5">
        <f t="shared" si="4"/>
        <v>1.583516484</v>
      </c>
      <c r="K197" s="1" t="s">
        <v>15</v>
      </c>
      <c r="L197" s="6">
        <f t="shared" si="5"/>
        <v>0.09642857143</v>
      </c>
    </row>
    <row r="198" ht="15.75" customHeight="1">
      <c r="A198" s="3">
        <v>2.0</v>
      </c>
      <c r="B198" s="1" t="s">
        <v>23</v>
      </c>
      <c r="C198" s="3">
        <v>18.0</v>
      </c>
      <c r="D198" s="15" t="s">
        <v>14</v>
      </c>
      <c r="E198" s="8">
        <v>2.0</v>
      </c>
      <c r="F198" s="1">
        <v>1970.0</v>
      </c>
      <c r="G198" s="4">
        <f t="shared" si="1"/>
        <v>78</v>
      </c>
      <c r="H198" s="4">
        <f t="shared" si="2"/>
        <v>85.8</v>
      </c>
      <c r="I198" s="5">
        <f t="shared" si="3"/>
        <v>80.60397013</v>
      </c>
      <c r="J198" s="5">
        <f t="shared" si="4"/>
        <v>1.587545788</v>
      </c>
      <c r="K198" s="1" t="s">
        <v>15</v>
      </c>
      <c r="L198" s="6">
        <f t="shared" si="5"/>
        <v>0.09047619048</v>
      </c>
    </row>
    <row r="199" ht="15.75" customHeight="1">
      <c r="A199" s="3">
        <v>3.0</v>
      </c>
      <c r="B199" s="1" t="s">
        <v>23</v>
      </c>
      <c r="C199" s="3">
        <v>18.0</v>
      </c>
      <c r="D199" s="15" t="s">
        <v>14</v>
      </c>
      <c r="E199" s="8">
        <v>3.0</v>
      </c>
      <c r="F199" s="1">
        <v>1960.0</v>
      </c>
      <c r="G199" s="4">
        <f t="shared" si="1"/>
        <v>88</v>
      </c>
      <c r="H199" s="4">
        <f t="shared" si="2"/>
        <v>92.6</v>
      </c>
      <c r="I199" s="5">
        <f t="shared" si="3"/>
        <v>103.788246</v>
      </c>
      <c r="J199" s="5">
        <f t="shared" si="4"/>
        <v>1.579487179</v>
      </c>
      <c r="K199" s="1" t="s">
        <v>15</v>
      </c>
      <c r="L199" s="6">
        <f t="shared" si="5"/>
        <v>0.1023809524</v>
      </c>
    </row>
    <row r="200" ht="15.75" customHeight="1">
      <c r="A200" s="3">
        <v>4.0</v>
      </c>
      <c r="B200" s="1" t="s">
        <v>23</v>
      </c>
      <c r="C200" s="3">
        <v>18.0</v>
      </c>
      <c r="D200" s="15" t="s">
        <v>14</v>
      </c>
      <c r="E200" s="8">
        <v>4.0</v>
      </c>
      <c r="F200" s="1">
        <v>1968.0</v>
      </c>
      <c r="G200" s="4">
        <f t="shared" si="1"/>
        <v>80</v>
      </c>
      <c r="H200" s="4">
        <f t="shared" si="2"/>
        <v>95.4</v>
      </c>
      <c r="I200" s="5">
        <f t="shared" si="3"/>
        <v>102.4060545</v>
      </c>
      <c r="J200" s="5">
        <f t="shared" si="4"/>
        <v>1.585934066</v>
      </c>
      <c r="K200" s="1" t="s">
        <v>15</v>
      </c>
      <c r="L200" s="6">
        <f t="shared" si="5"/>
        <v>0.09285714286</v>
      </c>
    </row>
    <row r="201" ht="15.75" customHeight="1">
      <c r="A201" s="3">
        <v>5.0</v>
      </c>
      <c r="B201" s="1" t="s">
        <v>23</v>
      </c>
      <c r="C201" s="3">
        <v>18.0</v>
      </c>
      <c r="D201" s="15" t="s">
        <v>14</v>
      </c>
      <c r="E201" s="8">
        <v>5.0</v>
      </c>
      <c r="F201" s="1">
        <v>1962.0</v>
      </c>
      <c r="G201" s="4">
        <f t="shared" si="1"/>
        <v>86</v>
      </c>
      <c r="H201" s="4">
        <f t="shared" si="2"/>
        <v>100.8</v>
      </c>
      <c r="I201" s="5">
        <f t="shared" si="3"/>
        <v>85.37739748</v>
      </c>
      <c r="J201" s="5">
        <f t="shared" si="4"/>
        <v>1.581098901</v>
      </c>
      <c r="K201" s="1" t="s">
        <v>15</v>
      </c>
      <c r="L201" s="6">
        <f t="shared" si="5"/>
        <v>0.1</v>
      </c>
    </row>
    <row r="202" ht="15.75" customHeight="1">
      <c r="A202" s="3">
        <v>6.0</v>
      </c>
      <c r="B202" s="1" t="s">
        <v>23</v>
      </c>
      <c r="C202" s="3">
        <v>18.0</v>
      </c>
      <c r="D202" s="15" t="s">
        <v>14</v>
      </c>
      <c r="E202" s="8">
        <v>6.0</v>
      </c>
      <c r="F202" s="1">
        <v>2145.0</v>
      </c>
      <c r="G202" s="4">
        <f t="shared" si="1"/>
        <v>97</v>
      </c>
      <c r="H202" s="4">
        <f t="shared" si="2"/>
        <v>107</v>
      </c>
      <c r="I202" s="5">
        <f t="shared" si="3"/>
        <v>7.90569415</v>
      </c>
      <c r="J202" s="5">
        <f t="shared" si="4"/>
        <v>1.728571429</v>
      </c>
      <c r="K202" s="1" t="s">
        <v>16</v>
      </c>
      <c r="L202" s="6">
        <f t="shared" si="5"/>
        <v>0.1130952381</v>
      </c>
    </row>
    <row r="203" ht="15.75" customHeight="1">
      <c r="A203" s="3">
        <v>7.0</v>
      </c>
      <c r="B203" s="1" t="s">
        <v>23</v>
      </c>
      <c r="C203" s="3">
        <v>18.0</v>
      </c>
      <c r="D203" s="15" t="s">
        <v>14</v>
      </c>
      <c r="E203" s="8">
        <v>7.0</v>
      </c>
      <c r="F203" s="1">
        <v>2160.0</v>
      </c>
      <c r="G203" s="4">
        <f t="shared" si="1"/>
        <v>112</v>
      </c>
      <c r="H203" s="4">
        <f t="shared" si="2"/>
        <v>167</v>
      </c>
      <c r="I203" s="5">
        <f t="shared" si="3"/>
        <v>128.6953768</v>
      </c>
      <c r="J203" s="5">
        <f t="shared" si="4"/>
        <v>1.740659341</v>
      </c>
      <c r="K203" s="1" t="s">
        <v>16</v>
      </c>
      <c r="L203" s="6">
        <f t="shared" si="5"/>
        <v>0.130952381</v>
      </c>
    </row>
    <row r="204" ht="15.75" customHeight="1">
      <c r="A204" s="3">
        <v>8.0</v>
      </c>
      <c r="B204" s="1" t="s">
        <v>23</v>
      </c>
      <c r="C204" s="3">
        <v>18.0</v>
      </c>
      <c r="D204" s="15" t="s">
        <v>14</v>
      </c>
      <c r="E204" s="8">
        <v>8.0</v>
      </c>
      <c r="F204" s="1">
        <v>2150.0</v>
      </c>
      <c r="G204" s="4">
        <f t="shared" si="1"/>
        <v>102</v>
      </c>
      <c r="H204" s="4">
        <f t="shared" si="2"/>
        <v>226</v>
      </c>
      <c r="I204" s="5">
        <f t="shared" si="3"/>
        <v>160.7949004</v>
      </c>
      <c r="J204" s="5">
        <f t="shared" si="4"/>
        <v>1.732600733</v>
      </c>
      <c r="K204" s="1" t="s">
        <v>16</v>
      </c>
      <c r="L204" s="6">
        <f t="shared" si="5"/>
        <v>0.119047619</v>
      </c>
    </row>
    <row r="205" ht="15.75" customHeight="1">
      <c r="A205" s="3">
        <v>9.0</v>
      </c>
      <c r="B205" s="1" t="s">
        <v>23</v>
      </c>
      <c r="C205" s="3">
        <v>18.0</v>
      </c>
      <c r="D205" s="15" t="s">
        <v>14</v>
      </c>
      <c r="E205" s="8">
        <v>9.0</v>
      </c>
      <c r="F205" s="1">
        <v>2155.0</v>
      </c>
      <c r="G205" s="4">
        <f t="shared" si="1"/>
        <v>107</v>
      </c>
      <c r="H205" s="4">
        <f t="shared" si="2"/>
        <v>285.6</v>
      </c>
      <c r="I205" s="5">
        <f t="shared" si="3"/>
        <v>158.5553531</v>
      </c>
      <c r="J205" s="5">
        <f t="shared" si="4"/>
        <v>1.736630037</v>
      </c>
      <c r="K205" s="1" t="s">
        <v>16</v>
      </c>
      <c r="L205" s="6">
        <f t="shared" si="5"/>
        <v>0.125</v>
      </c>
    </row>
    <row r="206" ht="15.75" customHeight="1">
      <c r="A206" s="3">
        <v>10.0</v>
      </c>
      <c r="B206" s="1" t="s">
        <v>23</v>
      </c>
      <c r="C206" s="3">
        <v>18.0</v>
      </c>
      <c r="D206" s="15" t="s">
        <v>14</v>
      </c>
      <c r="E206" s="8">
        <v>10.0</v>
      </c>
      <c r="F206" s="1">
        <v>2165.0</v>
      </c>
      <c r="G206" s="4">
        <f t="shared" si="1"/>
        <v>117</v>
      </c>
      <c r="H206" s="4">
        <f t="shared" si="2"/>
        <v>345</v>
      </c>
      <c r="I206" s="5">
        <f t="shared" si="3"/>
        <v>127.5127445</v>
      </c>
      <c r="J206" s="5">
        <f t="shared" si="4"/>
        <v>1.744688645</v>
      </c>
      <c r="K206" s="1" t="s">
        <v>16</v>
      </c>
      <c r="L206" s="6">
        <f t="shared" si="5"/>
        <v>0.1369047619</v>
      </c>
    </row>
    <row r="207" ht="15.75" customHeight="1">
      <c r="A207" s="3">
        <v>11.0</v>
      </c>
      <c r="B207" s="1" t="s">
        <v>23</v>
      </c>
      <c r="C207" s="3">
        <v>18.0</v>
      </c>
      <c r="D207" s="15" t="s">
        <v>14</v>
      </c>
      <c r="E207" s="8">
        <v>11.0</v>
      </c>
      <c r="F207" s="1">
        <v>2445.0</v>
      </c>
      <c r="G207" s="4">
        <f t="shared" si="1"/>
        <v>397</v>
      </c>
      <c r="H207" s="4">
        <f t="shared" si="2"/>
        <v>403.6</v>
      </c>
      <c r="I207" s="5">
        <f t="shared" si="3"/>
        <v>5.224940191</v>
      </c>
      <c r="J207" s="5">
        <f t="shared" si="4"/>
        <v>1.97032967</v>
      </c>
      <c r="K207" s="1" t="s">
        <v>17</v>
      </c>
      <c r="L207" s="6">
        <f t="shared" si="5"/>
        <v>0.4702380952</v>
      </c>
    </row>
    <row r="208" ht="15.75" customHeight="1">
      <c r="A208" s="3">
        <v>12.0</v>
      </c>
      <c r="B208" s="1" t="s">
        <v>23</v>
      </c>
      <c r="C208" s="3">
        <v>18.0</v>
      </c>
      <c r="D208" s="15" t="s">
        <v>14</v>
      </c>
      <c r="E208" s="8">
        <v>12.0</v>
      </c>
      <c r="F208" s="1">
        <v>2455.0</v>
      </c>
      <c r="G208" s="4">
        <f t="shared" si="1"/>
        <v>407</v>
      </c>
      <c r="H208" s="4">
        <f t="shared" si="2"/>
        <v>333.8</v>
      </c>
      <c r="I208" s="5">
        <f t="shared" si="3"/>
        <v>202.7333224</v>
      </c>
      <c r="J208" s="5">
        <f t="shared" si="4"/>
        <v>1.978388278</v>
      </c>
      <c r="K208" s="1" t="s">
        <v>17</v>
      </c>
      <c r="L208" s="6">
        <f t="shared" si="5"/>
        <v>0.4821428571</v>
      </c>
    </row>
    <row r="209" ht="15.75" customHeight="1">
      <c r="A209" s="3">
        <v>13.0</v>
      </c>
      <c r="B209" s="1" t="s">
        <v>23</v>
      </c>
      <c r="C209" s="3">
        <v>18.0</v>
      </c>
      <c r="D209" s="15" t="s">
        <v>14</v>
      </c>
      <c r="E209" s="8">
        <v>13.0</v>
      </c>
      <c r="F209" s="1">
        <v>2448.0</v>
      </c>
      <c r="G209" s="4">
        <f t="shared" si="1"/>
        <v>400</v>
      </c>
      <c r="H209" s="4">
        <f t="shared" si="2"/>
        <v>261</v>
      </c>
      <c r="I209" s="5">
        <f t="shared" si="3"/>
        <v>246.598459</v>
      </c>
      <c r="J209" s="5">
        <f t="shared" si="4"/>
        <v>1.972747253</v>
      </c>
      <c r="K209" s="1" t="s">
        <v>17</v>
      </c>
      <c r="L209" s="6">
        <f t="shared" si="5"/>
        <v>0.4738095238</v>
      </c>
    </row>
    <row r="210" ht="15.75" customHeight="1">
      <c r="A210" s="3">
        <v>14.0</v>
      </c>
      <c r="B210" s="1" t="s">
        <v>23</v>
      </c>
      <c r="C210" s="3">
        <v>18.0</v>
      </c>
      <c r="D210" s="15" t="s">
        <v>14</v>
      </c>
      <c r="E210" s="8">
        <v>14.0</v>
      </c>
      <c r="F210" s="1">
        <v>2452.0</v>
      </c>
      <c r="G210" s="4">
        <f t="shared" si="1"/>
        <v>404</v>
      </c>
      <c r="H210" s="4">
        <f t="shared" si="2"/>
        <v>191.6</v>
      </c>
      <c r="I210" s="5">
        <f t="shared" si="3"/>
        <v>249.2478686</v>
      </c>
      <c r="J210" s="5">
        <f t="shared" si="4"/>
        <v>1.975970696</v>
      </c>
      <c r="K210" s="1" t="s">
        <v>17</v>
      </c>
      <c r="L210" s="6">
        <f t="shared" si="5"/>
        <v>0.4785714286</v>
      </c>
    </row>
    <row r="211" ht="15.75" customHeight="1">
      <c r="A211" s="3">
        <v>15.0</v>
      </c>
      <c r="B211" s="1" t="s">
        <v>23</v>
      </c>
      <c r="C211" s="3">
        <v>18.0</v>
      </c>
      <c r="D211" s="15" t="s">
        <v>14</v>
      </c>
      <c r="E211" s="8">
        <v>15.0</v>
      </c>
      <c r="F211" s="1">
        <v>2458.0</v>
      </c>
      <c r="G211" s="4">
        <f t="shared" si="1"/>
        <v>410</v>
      </c>
      <c r="H211" s="4">
        <f t="shared" si="2"/>
        <v>120</v>
      </c>
      <c r="I211" s="5">
        <f t="shared" si="3"/>
        <v>204.6325976</v>
      </c>
      <c r="J211" s="5">
        <f t="shared" si="4"/>
        <v>1.980805861</v>
      </c>
      <c r="K211" s="1" t="s">
        <v>17</v>
      </c>
      <c r="L211" s="6">
        <f t="shared" si="5"/>
        <v>0.4857142857</v>
      </c>
    </row>
    <row r="212" ht="15.75" customHeight="1">
      <c r="A212" s="3">
        <v>1.0</v>
      </c>
      <c r="B212" s="13" t="s">
        <v>24</v>
      </c>
      <c r="C212" s="3">
        <v>14.0</v>
      </c>
      <c r="D212" s="15" t="s">
        <v>14</v>
      </c>
      <c r="E212" s="8">
        <v>1.0</v>
      </c>
      <c r="F212" s="1">
        <v>2000.0</v>
      </c>
      <c r="G212" s="4">
        <f t="shared" si="1"/>
        <v>48</v>
      </c>
      <c r="H212" s="4">
        <f t="shared" si="2"/>
        <v>48</v>
      </c>
      <c r="I212" s="5">
        <f t="shared" si="3"/>
        <v>3.807886553</v>
      </c>
      <c r="J212" s="5">
        <f t="shared" si="4"/>
        <v>1.611721612</v>
      </c>
      <c r="K212" s="1" t="s">
        <v>15</v>
      </c>
      <c r="L212" s="6">
        <f t="shared" si="5"/>
        <v>0.05476190476</v>
      </c>
    </row>
    <row r="213" ht="15.75" customHeight="1">
      <c r="A213" s="3">
        <v>2.0</v>
      </c>
      <c r="B213" s="13" t="s">
        <v>24</v>
      </c>
      <c r="C213" s="3">
        <v>14.0</v>
      </c>
      <c r="D213" s="15" t="s">
        <v>14</v>
      </c>
      <c r="E213" s="8">
        <v>2.0</v>
      </c>
      <c r="F213" s="1">
        <v>2005.0</v>
      </c>
      <c r="G213" s="4">
        <f t="shared" si="1"/>
        <v>43</v>
      </c>
      <c r="H213" s="4">
        <f t="shared" si="2"/>
        <v>78.8</v>
      </c>
      <c r="I213" s="5">
        <f t="shared" si="3"/>
        <v>111.8682261</v>
      </c>
      <c r="J213" s="5">
        <f t="shared" si="4"/>
        <v>1.615750916</v>
      </c>
      <c r="K213" s="1" t="s">
        <v>15</v>
      </c>
      <c r="L213" s="6">
        <f t="shared" si="5"/>
        <v>0.04880952381</v>
      </c>
    </row>
    <row r="214" ht="15.75" customHeight="1">
      <c r="A214" s="3">
        <v>3.0</v>
      </c>
      <c r="B214" s="13" t="s">
        <v>24</v>
      </c>
      <c r="C214" s="3">
        <v>14.0</v>
      </c>
      <c r="D214" s="15" t="s">
        <v>14</v>
      </c>
      <c r="E214" s="8">
        <v>3.0</v>
      </c>
      <c r="F214" s="1">
        <v>1995.0</v>
      </c>
      <c r="G214" s="4">
        <f t="shared" si="1"/>
        <v>53</v>
      </c>
      <c r="H214" s="4">
        <f t="shared" si="2"/>
        <v>113.6</v>
      </c>
      <c r="I214" s="5">
        <f t="shared" si="3"/>
        <v>142.0721648</v>
      </c>
      <c r="J214" s="5">
        <f t="shared" si="4"/>
        <v>1.607692308</v>
      </c>
      <c r="K214" s="1" t="s">
        <v>15</v>
      </c>
      <c r="L214" s="6">
        <f t="shared" si="5"/>
        <v>0.06071428571</v>
      </c>
    </row>
    <row r="215" ht="15.75" customHeight="1">
      <c r="A215" s="3">
        <v>4.0</v>
      </c>
      <c r="B215" s="13" t="s">
        <v>24</v>
      </c>
      <c r="C215" s="3">
        <v>14.0</v>
      </c>
      <c r="D215" s="15" t="s">
        <v>14</v>
      </c>
      <c r="E215" s="8">
        <v>4.0</v>
      </c>
      <c r="F215" s="1">
        <v>2002.0</v>
      </c>
      <c r="G215" s="4">
        <f t="shared" si="1"/>
        <v>46</v>
      </c>
      <c r="H215" s="4">
        <f t="shared" si="2"/>
        <v>144.4</v>
      </c>
      <c r="I215" s="5">
        <f t="shared" si="3"/>
        <v>140.692928</v>
      </c>
      <c r="J215" s="5">
        <f t="shared" si="4"/>
        <v>1.613333333</v>
      </c>
      <c r="K215" s="1" t="s">
        <v>15</v>
      </c>
      <c r="L215" s="6">
        <f t="shared" si="5"/>
        <v>0.05238095238</v>
      </c>
    </row>
    <row r="216" ht="15.75" customHeight="1">
      <c r="A216" s="3">
        <v>5.0</v>
      </c>
      <c r="B216" s="13" t="s">
        <v>24</v>
      </c>
      <c r="C216" s="3">
        <v>14.0</v>
      </c>
      <c r="D216" s="15" t="s">
        <v>14</v>
      </c>
      <c r="E216" s="8">
        <v>5.0</v>
      </c>
      <c r="F216" s="1">
        <v>1998.0</v>
      </c>
      <c r="G216" s="4">
        <f t="shared" si="1"/>
        <v>50</v>
      </c>
      <c r="H216" s="4">
        <f t="shared" si="2"/>
        <v>175.6</v>
      </c>
      <c r="I216" s="5">
        <f t="shared" si="3"/>
        <v>115.0969157</v>
      </c>
      <c r="J216" s="5">
        <f t="shared" si="4"/>
        <v>1.61010989</v>
      </c>
      <c r="K216" s="1" t="s">
        <v>15</v>
      </c>
      <c r="L216" s="6">
        <f t="shared" si="5"/>
        <v>0.05714285714</v>
      </c>
    </row>
    <row r="217" ht="15.75" customHeight="1">
      <c r="A217" s="3">
        <v>6.0</v>
      </c>
      <c r="B217" s="13" t="s">
        <v>24</v>
      </c>
      <c r="C217" s="3">
        <v>14.0</v>
      </c>
      <c r="D217" s="15" t="s">
        <v>14</v>
      </c>
      <c r="E217" s="8">
        <v>6.0</v>
      </c>
      <c r="F217" s="1">
        <v>2250.0</v>
      </c>
      <c r="G217" s="4">
        <f t="shared" si="1"/>
        <v>202</v>
      </c>
      <c r="H217" s="4">
        <f t="shared" si="2"/>
        <v>208</v>
      </c>
      <c r="I217" s="5">
        <f t="shared" si="3"/>
        <v>6.519202405</v>
      </c>
      <c r="J217" s="5">
        <f t="shared" si="4"/>
        <v>1.813186813</v>
      </c>
      <c r="K217" s="1" t="s">
        <v>16</v>
      </c>
      <c r="L217" s="6">
        <f t="shared" si="5"/>
        <v>0.2380952381</v>
      </c>
    </row>
    <row r="218" ht="15.75" customHeight="1">
      <c r="A218" s="3">
        <v>7.0</v>
      </c>
      <c r="B218" s="13" t="s">
        <v>24</v>
      </c>
      <c r="C218" s="3">
        <v>14.0</v>
      </c>
      <c r="D218" s="15" t="s">
        <v>14</v>
      </c>
      <c r="E218" s="8">
        <v>7.0</v>
      </c>
      <c r="F218" s="1">
        <v>2265.0</v>
      </c>
      <c r="G218" s="4">
        <f t="shared" si="1"/>
        <v>217</v>
      </c>
      <c r="H218" s="4">
        <f t="shared" si="2"/>
        <v>278</v>
      </c>
      <c r="I218" s="5">
        <f t="shared" si="3"/>
        <v>153.2726329</v>
      </c>
      <c r="J218" s="5">
        <f t="shared" si="4"/>
        <v>1.825274725</v>
      </c>
      <c r="K218" s="1" t="s">
        <v>16</v>
      </c>
      <c r="L218" s="6">
        <f t="shared" si="5"/>
        <v>0.255952381</v>
      </c>
    </row>
    <row r="219" ht="15.75" customHeight="1">
      <c r="A219" s="3">
        <v>8.0</v>
      </c>
      <c r="B219" s="13" t="s">
        <v>24</v>
      </c>
      <c r="C219" s="3">
        <v>14.0</v>
      </c>
      <c r="D219" s="15" t="s">
        <v>14</v>
      </c>
      <c r="E219" s="8">
        <v>8.0</v>
      </c>
      <c r="F219" s="1">
        <v>2255.0</v>
      </c>
      <c r="G219" s="4">
        <f t="shared" si="1"/>
        <v>207</v>
      </c>
      <c r="H219" s="4">
        <f t="shared" si="2"/>
        <v>347</v>
      </c>
      <c r="I219" s="5">
        <f t="shared" si="3"/>
        <v>191.7680891</v>
      </c>
      <c r="J219" s="5">
        <f t="shared" si="4"/>
        <v>1.817216117</v>
      </c>
      <c r="K219" s="1" t="s">
        <v>16</v>
      </c>
      <c r="L219" s="6">
        <f t="shared" si="5"/>
        <v>0.244047619</v>
      </c>
    </row>
    <row r="220" ht="15.75" customHeight="1">
      <c r="A220" s="3">
        <v>9.0</v>
      </c>
      <c r="B220" s="13" t="s">
        <v>24</v>
      </c>
      <c r="C220" s="3">
        <v>14.0</v>
      </c>
      <c r="D220" s="15" t="s">
        <v>14</v>
      </c>
      <c r="E220" s="8">
        <v>9.0</v>
      </c>
      <c r="F220" s="1">
        <v>2250.0</v>
      </c>
      <c r="G220" s="4">
        <f t="shared" si="1"/>
        <v>202</v>
      </c>
      <c r="H220" s="4">
        <f t="shared" si="2"/>
        <v>417</v>
      </c>
      <c r="I220" s="5">
        <f t="shared" si="3"/>
        <v>191.7680891</v>
      </c>
      <c r="J220" s="5">
        <f t="shared" si="4"/>
        <v>1.813186813</v>
      </c>
      <c r="K220" s="1" t="s">
        <v>16</v>
      </c>
      <c r="L220" s="6">
        <f t="shared" si="5"/>
        <v>0.2380952381</v>
      </c>
    </row>
    <row r="221" ht="15.75" customHeight="1">
      <c r="A221" s="3">
        <v>10.0</v>
      </c>
      <c r="B221" s="13" t="s">
        <v>24</v>
      </c>
      <c r="C221" s="3">
        <v>14.0</v>
      </c>
      <c r="D221" s="15" t="s">
        <v>14</v>
      </c>
      <c r="E221" s="8">
        <v>10.0</v>
      </c>
      <c r="F221" s="1">
        <v>2260.0</v>
      </c>
      <c r="G221" s="4">
        <f t="shared" si="1"/>
        <v>212</v>
      </c>
      <c r="H221" s="4">
        <f t="shared" si="2"/>
        <v>490</v>
      </c>
      <c r="I221" s="5">
        <f t="shared" si="3"/>
        <v>155.5072346</v>
      </c>
      <c r="J221" s="5">
        <f t="shared" si="4"/>
        <v>1.821245421</v>
      </c>
      <c r="K221" s="1" t="s">
        <v>16</v>
      </c>
      <c r="L221" s="6">
        <f t="shared" si="5"/>
        <v>0.25</v>
      </c>
    </row>
    <row r="222" ht="15.75" customHeight="1">
      <c r="A222" s="3">
        <v>11.0</v>
      </c>
      <c r="B222" s="13" t="s">
        <v>24</v>
      </c>
      <c r="C222" s="3">
        <v>14.0</v>
      </c>
      <c r="D222" s="15" t="s">
        <v>14</v>
      </c>
      <c r="E222" s="8">
        <v>11.0</v>
      </c>
      <c r="F222" s="1">
        <v>2600.0</v>
      </c>
      <c r="G222" s="4">
        <f t="shared" si="1"/>
        <v>552</v>
      </c>
      <c r="H222" s="4">
        <f t="shared" si="2"/>
        <v>562</v>
      </c>
      <c r="I222" s="5">
        <f t="shared" si="3"/>
        <v>7.90569415</v>
      </c>
      <c r="J222" s="5">
        <f t="shared" si="4"/>
        <v>2.095238095</v>
      </c>
      <c r="K222" s="1" t="s">
        <v>17</v>
      </c>
      <c r="L222" s="6">
        <f t="shared" si="5"/>
        <v>0.6547619048</v>
      </c>
    </row>
    <row r="223" ht="15.75" customHeight="1">
      <c r="A223" s="3">
        <v>12.0</v>
      </c>
      <c r="B223" s="13" t="s">
        <v>24</v>
      </c>
      <c r="C223" s="3">
        <v>14.0</v>
      </c>
      <c r="D223" s="15" t="s">
        <v>14</v>
      </c>
      <c r="E223" s="8">
        <v>12.0</v>
      </c>
      <c r="F223" s="1">
        <v>2610.0</v>
      </c>
      <c r="G223" s="4">
        <f t="shared" si="1"/>
        <v>562</v>
      </c>
      <c r="H223" s="4">
        <f t="shared" si="2"/>
        <v>464.2</v>
      </c>
      <c r="I223" s="5">
        <f t="shared" si="3"/>
        <v>280.6822046</v>
      </c>
      <c r="J223" s="5">
        <f t="shared" si="4"/>
        <v>2.103296703</v>
      </c>
      <c r="K223" s="1" t="s">
        <v>17</v>
      </c>
      <c r="L223" s="6">
        <f t="shared" si="5"/>
        <v>0.6666666667</v>
      </c>
    </row>
    <row r="224" ht="15.75" customHeight="1">
      <c r="A224" s="3">
        <v>13.0</v>
      </c>
      <c r="B224" s="13" t="s">
        <v>24</v>
      </c>
      <c r="C224" s="3">
        <v>14.0</v>
      </c>
      <c r="D224" s="15" t="s">
        <v>14</v>
      </c>
      <c r="E224" s="8">
        <v>13.0</v>
      </c>
      <c r="F224" s="1">
        <v>2605.0</v>
      </c>
      <c r="G224" s="4">
        <f t="shared" si="1"/>
        <v>557</v>
      </c>
      <c r="H224" s="4">
        <f t="shared" si="2"/>
        <v>363.4</v>
      </c>
      <c r="I224" s="5">
        <f t="shared" si="3"/>
        <v>342.8301329</v>
      </c>
      <c r="J224" s="5">
        <f t="shared" si="4"/>
        <v>2.099267399</v>
      </c>
      <c r="K224" s="1" t="s">
        <v>17</v>
      </c>
      <c r="L224" s="6">
        <f t="shared" si="5"/>
        <v>0.6607142857</v>
      </c>
    </row>
    <row r="225" ht="15.75" customHeight="1">
      <c r="A225" s="3">
        <v>14.0</v>
      </c>
      <c r="B225" s="13" t="s">
        <v>24</v>
      </c>
      <c r="C225" s="3">
        <v>14.0</v>
      </c>
      <c r="D225" s="15" t="s">
        <v>14</v>
      </c>
      <c r="E225" s="8">
        <v>14.0</v>
      </c>
      <c r="F225" s="1">
        <v>2615.0</v>
      </c>
      <c r="G225" s="4">
        <f t="shared" si="1"/>
        <v>567</v>
      </c>
      <c r="H225" s="4">
        <f t="shared" si="2"/>
        <v>265.6</v>
      </c>
      <c r="I225" s="5">
        <f t="shared" si="3"/>
        <v>346.457068</v>
      </c>
      <c r="J225" s="5">
        <f t="shared" si="4"/>
        <v>2.107326007</v>
      </c>
      <c r="K225" s="1" t="s">
        <v>17</v>
      </c>
      <c r="L225" s="6">
        <f t="shared" si="5"/>
        <v>0.6726190476</v>
      </c>
    </row>
    <row r="226" ht="15.75" customHeight="1">
      <c r="A226" s="3">
        <v>15.0</v>
      </c>
      <c r="B226" s="13" t="s">
        <v>24</v>
      </c>
      <c r="C226" s="3">
        <v>14.0</v>
      </c>
      <c r="D226" s="15" t="s">
        <v>14</v>
      </c>
      <c r="E226" s="8">
        <v>15.0</v>
      </c>
      <c r="F226" s="1">
        <v>2620.0</v>
      </c>
      <c r="G226" s="4">
        <f t="shared" si="1"/>
        <v>572</v>
      </c>
      <c r="H226" s="4">
        <f t="shared" si="2"/>
        <v>164.2</v>
      </c>
      <c r="I226" s="5">
        <f t="shared" si="3"/>
        <v>283.6702311</v>
      </c>
      <c r="J226" s="5">
        <f t="shared" si="4"/>
        <v>2.111355311</v>
      </c>
      <c r="K226" s="1" t="s">
        <v>17</v>
      </c>
      <c r="L226" s="6">
        <f t="shared" si="5"/>
        <v>0.6785714286</v>
      </c>
    </row>
    <row r="227" ht="15.75" customHeight="1">
      <c r="A227" s="3">
        <v>1.0</v>
      </c>
      <c r="B227" s="13" t="s">
        <v>25</v>
      </c>
      <c r="C227" s="3">
        <v>17.0</v>
      </c>
      <c r="D227" s="15" t="s">
        <v>20</v>
      </c>
      <c r="E227" s="8">
        <v>1.0</v>
      </c>
      <c r="F227" s="1">
        <v>1985.0</v>
      </c>
      <c r="G227" s="4">
        <f t="shared" si="1"/>
        <v>63</v>
      </c>
      <c r="H227" s="4">
        <f t="shared" si="2"/>
        <v>63</v>
      </c>
      <c r="I227" s="5">
        <f t="shared" si="3"/>
        <v>4.123105626</v>
      </c>
      <c r="J227" s="5">
        <f t="shared" si="4"/>
        <v>1.5996337</v>
      </c>
      <c r="K227" s="1" t="s">
        <v>15</v>
      </c>
      <c r="L227" s="6">
        <f t="shared" si="5"/>
        <v>0.07261904762</v>
      </c>
    </row>
    <row r="228" ht="15.75" customHeight="1">
      <c r="A228" s="3">
        <v>2.0</v>
      </c>
      <c r="B228" s="13" t="s">
        <v>25</v>
      </c>
      <c r="C228" s="3">
        <v>17.0</v>
      </c>
      <c r="D228" s="15" t="s">
        <v>20</v>
      </c>
      <c r="E228" s="8">
        <v>2.0</v>
      </c>
      <c r="F228" s="1">
        <v>1990.0</v>
      </c>
      <c r="G228" s="4">
        <f t="shared" si="1"/>
        <v>58</v>
      </c>
      <c r="H228" s="4">
        <f t="shared" si="2"/>
        <v>71.8</v>
      </c>
      <c r="I228" s="5">
        <f t="shared" si="3"/>
        <v>76.13803255</v>
      </c>
      <c r="J228" s="5">
        <f t="shared" si="4"/>
        <v>1.603663004</v>
      </c>
      <c r="K228" s="1" t="s">
        <v>15</v>
      </c>
      <c r="L228" s="6">
        <f t="shared" si="5"/>
        <v>0.06666666667</v>
      </c>
    </row>
    <row r="229" ht="15.75" customHeight="1">
      <c r="A229" s="3">
        <v>3.0</v>
      </c>
      <c r="B229" s="13" t="s">
        <v>25</v>
      </c>
      <c r="C229" s="3">
        <v>17.0</v>
      </c>
      <c r="D229" s="15" t="s">
        <v>20</v>
      </c>
      <c r="E229" s="8">
        <v>3.0</v>
      </c>
      <c r="F229" s="1">
        <v>1980.0</v>
      </c>
      <c r="G229" s="4">
        <f t="shared" si="1"/>
        <v>68</v>
      </c>
      <c r="H229" s="4">
        <f t="shared" si="2"/>
        <v>84.6</v>
      </c>
      <c r="I229" s="5">
        <f t="shared" si="3"/>
        <v>98.32090317</v>
      </c>
      <c r="J229" s="5">
        <f t="shared" si="4"/>
        <v>1.595604396</v>
      </c>
      <c r="K229" s="1" t="s">
        <v>15</v>
      </c>
      <c r="L229" s="6">
        <f t="shared" si="5"/>
        <v>0.07857142857</v>
      </c>
    </row>
    <row r="230" ht="15.75" customHeight="1">
      <c r="A230" s="3">
        <v>4.0</v>
      </c>
      <c r="B230" s="13" t="s">
        <v>25</v>
      </c>
      <c r="C230" s="3">
        <v>17.0</v>
      </c>
      <c r="D230" s="15" t="s">
        <v>20</v>
      </c>
      <c r="E230" s="8">
        <v>4.0</v>
      </c>
      <c r="F230" s="1">
        <v>1988.0</v>
      </c>
      <c r="G230" s="4">
        <f t="shared" si="1"/>
        <v>60</v>
      </c>
      <c r="H230" s="4">
        <f t="shared" si="2"/>
        <v>94.4</v>
      </c>
      <c r="I230" s="5">
        <f t="shared" si="3"/>
        <v>97.84937404</v>
      </c>
      <c r="J230" s="5">
        <f t="shared" si="4"/>
        <v>1.602051282</v>
      </c>
      <c r="K230" s="1" t="s">
        <v>15</v>
      </c>
      <c r="L230" s="6">
        <f t="shared" si="5"/>
        <v>0.06904761905</v>
      </c>
    </row>
    <row r="231" ht="15.75" customHeight="1">
      <c r="A231" s="3">
        <v>5.0</v>
      </c>
      <c r="B231" s="13" t="s">
        <v>25</v>
      </c>
      <c r="C231" s="3">
        <v>17.0</v>
      </c>
      <c r="D231" s="15" t="s">
        <v>20</v>
      </c>
      <c r="E231" s="8">
        <v>5.0</v>
      </c>
      <c r="F231" s="1">
        <v>1982.0</v>
      </c>
      <c r="G231" s="4">
        <f t="shared" si="1"/>
        <v>66</v>
      </c>
      <c r="H231" s="4">
        <f t="shared" si="2"/>
        <v>104.8</v>
      </c>
      <c r="I231" s="5">
        <f t="shared" si="3"/>
        <v>80.91538791</v>
      </c>
      <c r="J231" s="5">
        <f t="shared" si="4"/>
        <v>1.597216117</v>
      </c>
      <c r="K231" s="1" t="s">
        <v>15</v>
      </c>
      <c r="L231" s="6">
        <f t="shared" si="5"/>
        <v>0.07619047619</v>
      </c>
    </row>
    <row r="232" ht="15.75" customHeight="1">
      <c r="A232" s="3">
        <v>6.0</v>
      </c>
      <c r="B232" s="13" t="s">
        <v>25</v>
      </c>
      <c r="C232" s="3">
        <v>17.0</v>
      </c>
      <c r="D232" s="15" t="s">
        <v>20</v>
      </c>
      <c r="E232" s="8">
        <v>6.0</v>
      </c>
      <c r="F232" s="1">
        <v>2155.0</v>
      </c>
      <c r="G232" s="4">
        <f t="shared" si="1"/>
        <v>107</v>
      </c>
      <c r="H232" s="4">
        <f t="shared" si="2"/>
        <v>117</v>
      </c>
      <c r="I232" s="5">
        <f t="shared" si="3"/>
        <v>7.90569415</v>
      </c>
      <c r="J232" s="5">
        <f t="shared" si="4"/>
        <v>1.736630037</v>
      </c>
      <c r="K232" s="1" t="s">
        <v>16</v>
      </c>
      <c r="L232" s="6">
        <f t="shared" si="5"/>
        <v>0.125</v>
      </c>
    </row>
    <row r="233" ht="15.75" customHeight="1">
      <c r="A233" s="3">
        <v>7.0</v>
      </c>
      <c r="B233" s="13" t="s">
        <v>25</v>
      </c>
      <c r="C233" s="3">
        <v>17.0</v>
      </c>
      <c r="D233" s="15" t="s">
        <v>20</v>
      </c>
      <c r="E233" s="8">
        <v>7.0</v>
      </c>
      <c r="F233" s="1">
        <v>2170.0</v>
      </c>
      <c r="G233" s="4">
        <f t="shared" si="1"/>
        <v>122</v>
      </c>
      <c r="H233" s="4">
        <f t="shared" si="2"/>
        <v>177</v>
      </c>
      <c r="I233" s="5">
        <f t="shared" si="3"/>
        <v>128.6953768</v>
      </c>
      <c r="J233" s="5">
        <f t="shared" si="4"/>
        <v>1.748717949</v>
      </c>
      <c r="K233" s="1" t="s">
        <v>16</v>
      </c>
      <c r="L233" s="6">
        <f t="shared" si="5"/>
        <v>0.1428571429</v>
      </c>
    </row>
    <row r="234" ht="15.75" customHeight="1">
      <c r="A234" s="3">
        <v>8.0</v>
      </c>
      <c r="B234" s="13" t="s">
        <v>25</v>
      </c>
      <c r="C234" s="3">
        <v>17.0</v>
      </c>
      <c r="D234" s="15" t="s">
        <v>20</v>
      </c>
      <c r="E234" s="8">
        <v>8.0</v>
      </c>
      <c r="F234" s="1">
        <v>2165.0</v>
      </c>
      <c r="G234" s="4">
        <f t="shared" si="1"/>
        <v>117</v>
      </c>
      <c r="H234" s="4">
        <f t="shared" si="2"/>
        <v>237</v>
      </c>
      <c r="I234" s="5">
        <f t="shared" si="3"/>
        <v>162.211282</v>
      </c>
      <c r="J234" s="5">
        <f t="shared" si="4"/>
        <v>1.744688645</v>
      </c>
      <c r="K234" s="1" t="s">
        <v>16</v>
      </c>
      <c r="L234" s="6">
        <f t="shared" si="5"/>
        <v>0.1369047619</v>
      </c>
    </row>
    <row r="235" ht="15.75" customHeight="1">
      <c r="A235" s="3">
        <v>9.0</v>
      </c>
      <c r="B235" s="13" t="s">
        <v>25</v>
      </c>
      <c r="C235" s="3">
        <v>17.0</v>
      </c>
      <c r="D235" s="15" t="s">
        <v>20</v>
      </c>
      <c r="E235" s="8">
        <v>9.0</v>
      </c>
      <c r="F235" s="1">
        <v>2160.0</v>
      </c>
      <c r="G235" s="4">
        <f t="shared" si="1"/>
        <v>112</v>
      </c>
      <c r="H235" s="4">
        <f t="shared" si="2"/>
        <v>297</v>
      </c>
      <c r="I235" s="5">
        <f t="shared" si="3"/>
        <v>162.211282</v>
      </c>
      <c r="J235" s="5">
        <f t="shared" si="4"/>
        <v>1.740659341</v>
      </c>
      <c r="K235" s="1" t="s">
        <v>16</v>
      </c>
      <c r="L235" s="6">
        <f t="shared" si="5"/>
        <v>0.130952381</v>
      </c>
    </row>
    <row r="236" ht="15.75" customHeight="1">
      <c r="A236" s="3">
        <v>10.0</v>
      </c>
      <c r="B236" s="13" t="s">
        <v>25</v>
      </c>
      <c r="C236" s="3">
        <v>17.0</v>
      </c>
      <c r="D236" s="15" t="s">
        <v>20</v>
      </c>
      <c r="E236" s="8">
        <v>10.0</v>
      </c>
      <c r="F236" s="1">
        <v>2175.0</v>
      </c>
      <c r="G236" s="4">
        <f t="shared" si="1"/>
        <v>127</v>
      </c>
      <c r="H236" s="4">
        <f t="shared" si="2"/>
        <v>357</v>
      </c>
      <c r="I236" s="5">
        <f t="shared" si="3"/>
        <v>128.6953768</v>
      </c>
      <c r="J236" s="5">
        <f t="shared" si="4"/>
        <v>1.752747253</v>
      </c>
      <c r="K236" s="1" t="s">
        <v>16</v>
      </c>
      <c r="L236" s="6">
        <f t="shared" si="5"/>
        <v>0.1488095238</v>
      </c>
    </row>
    <row r="237" ht="15.75" customHeight="1">
      <c r="A237" s="3">
        <v>11.0</v>
      </c>
      <c r="B237" s="13" t="s">
        <v>25</v>
      </c>
      <c r="C237" s="3">
        <v>17.0</v>
      </c>
      <c r="D237" s="15" t="s">
        <v>20</v>
      </c>
      <c r="E237" s="8">
        <v>11.0</v>
      </c>
      <c r="F237" s="1">
        <v>2455.0</v>
      </c>
      <c r="G237" s="4">
        <f t="shared" si="1"/>
        <v>407</v>
      </c>
      <c r="H237" s="4">
        <f t="shared" si="2"/>
        <v>417</v>
      </c>
      <c r="I237" s="5">
        <f t="shared" si="3"/>
        <v>7.90569415</v>
      </c>
      <c r="J237" s="5">
        <f t="shared" si="4"/>
        <v>1.978388278</v>
      </c>
      <c r="K237" s="1" t="s">
        <v>17</v>
      </c>
      <c r="L237" s="6">
        <f t="shared" si="5"/>
        <v>0.4821428571</v>
      </c>
    </row>
    <row r="238" ht="15.75" customHeight="1">
      <c r="A238" s="3">
        <v>12.0</v>
      </c>
      <c r="B238" s="13" t="s">
        <v>25</v>
      </c>
      <c r="C238" s="3">
        <v>17.0</v>
      </c>
      <c r="D238" s="15" t="s">
        <v>20</v>
      </c>
      <c r="E238" s="8">
        <v>12.0</v>
      </c>
      <c r="F238" s="1">
        <v>2470.0</v>
      </c>
      <c r="G238" s="4">
        <f t="shared" si="1"/>
        <v>422</v>
      </c>
      <c r="H238" s="4">
        <f t="shared" si="2"/>
        <v>343.2</v>
      </c>
      <c r="I238" s="5">
        <f t="shared" si="3"/>
        <v>170.7035442</v>
      </c>
      <c r="J238" s="5">
        <f t="shared" si="4"/>
        <v>1.99047619</v>
      </c>
      <c r="K238" s="1" t="s">
        <v>17</v>
      </c>
      <c r="L238" s="6">
        <f t="shared" si="5"/>
        <v>0.5</v>
      </c>
    </row>
    <row r="239" ht="15.75" customHeight="1">
      <c r="A239" s="3">
        <v>13.0</v>
      </c>
      <c r="B239" s="13" t="s">
        <v>25</v>
      </c>
      <c r="C239" s="3">
        <v>17.0</v>
      </c>
      <c r="D239" s="15" t="s">
        <v>20</v>
      </c>
      <c r="E239" s="8">
        <v>13.0</v>
      </c>
      <c r="F239" s="1">
        <v>2465.0</v>
      </c>
      <c r="G239" s="4">
        <f t="shared" si="1"/>
        <v>417</v>
      </c>
      <c r="H239" s="4">
        <f t="shared" si="2"/>
        <v>261.4</v>
      </c>
      <c r="I239" s="5">
        <f t="shared" si="3"/>
        <v>215.5952226</v>
      </c>
      <c r="J239" s="5">
        <f t="shared" si="4"/>
        <v>1.986446886</v>
      </c>
      <c r="K239" s="1" t="s">
        <v>17</v>
      </c>
      <c r="L239" s="6">
        <f t="shared" si="5"/>
        <v>0.494047619</v>
      </c>
    </row>
    <row r="240" ht="15.75" customHeight="1">
      <c r="A240" s="3">
        <v>14.0</v>
      </c>
      <c r="B240" s="13" t="s">
        <v>25</v>
      </c>
      <c r="C240" s="3">
        <v>17.0</v>
      </c>
      <c r="D240" s="15" t="s">
        <v>20</v>
      </c>
      <c r="E240" s="8">
        <v>14.0</v>
      </c>
      <c r="F240" s="1">
        <v>2460.0</v>
      </c>
      <c r="G240" s="4">
        <f t="shared" si="1"/>
        <v>412</v>
      </c>
      <c r="H240" s="4">
        <f t="shared" si="2"/>
        <v>180.8</v>
      </c>
      <c r="I240" s="5">
        <f t="shared" si="3"/>
        <v>218.1964711</v>
      </c>
      <c r="J240" s="5">
        <f t="shared" si="4"/>
        <v>1.982417582</v>
      </c>
      <c r="K240" s="1" t="s">
        <v>17</v>
      </c>
      <c r="L240" s="6">
        <f t="shared" si="5"/>
        <v>0.4880952381</v>
      </c>
    </row>
    <row r="241" ht="15.75" customHeight="1">
      <c r="A241" s="3">
        <v>15.0</v>
      </c>
      <c r="B241" s="13" t="s">
        <v>25</v>
      </c>
      <c r="C241" s="3">
        <v>17.0</v>
      </c>
      <c r="D241" s="15" t="s">
        <v>20</v>
      </c>
      <c r="E241" s="8">
        <v>15.0</v>
      </c>
      <c r="F241" s="1">
        <v>2475.0</v>
      </c>
      <c r="G241" s="4">
        <f t="shared" si="1"/>
        <v>427</v>
      </c>
      <c r="H241" s="4">
        <f t="shared" si="2"/>
        <v>99.8</v>
      </c>
      <c r="I241" s="5">
        <f t="shared" si="3"/>
        <v>185.1634413</v>
      </c>
      <c r="J241" s="5">
        <f t="shared" si="4"/>
        <v>1.994505495</v>
      </c>
      <c r="K241" s="1" t="s">
        <v>17</v>
      </c>
      <c r="L241" s="6">
        <f t="shared" si="5"/>
        <v>0.505952381</v>
      </c>
    </row>
    <row r="242" ht="15.75" customHeight="1">
      <c r="A242" s="3">
        <v>10.8079727758872</v>
      </c>
      <c r="B242" s="1" t="s">
        <v>13</v>
      </c>
      <c r="C242" s="3">
        <v>17.0</v>
      </c>
      <c r="D242" s="15" t="s">
        <v>20</v>
      </c>
      <c r="E242" s="8">
        <v>1.0</v>
      </c>
      <c r="F242" s="15">
        <v>2086.0</v>
      </c>
      <c r="G242" s="4">
        <f t="shared" si="1"/>
        <v>38</v>
      </c>
      <c r="H242" s="4">
        <f t="shared" si="2"/>
        <v>18</v>
      </c>
      <c r="I242" s="5">
        <f t="shared" si="3"/>
        <v>16.02186007</v>
      </c>
      <c r="J242" s="5">
        <f t="shared" si="4"/>
        <v>1.681025641</v>
      </c>
      <c r="K242" s="1" t="s">
        <v>15</v>
      </c>
      <c r="L242" s="6">
        <f t="shared" si="5"/>
        <v>0.04285714286</v>
      </c>
    </row>
    <row r="243" ht="15.75" customHeight="1">
      <c r="A243" s="3">
        <v>10.8235294117647</v>
      </c>
      <c r="B243" s="1" t="s">
        <v>13</v>
      </c>
      <c r="C243" s="3">
        <v>17.0</v>
      </c>
      <c r="D243" s="15" t="s">
        <v>20</v>
      </c>
      <c r="E243" s="8">
        <v>2.0</v>
      </c>
      <c r="F243" s="15">
        <v>2061.0</v>
      </c>
      <c r="G243" s="4">
        <f t="shared" si="1"/>
        <v>13</v>
      </c>
      <c r="H243" s="4">
        <f t="shared" si="2"/>
        <v>39</v>
      </c>
      <c r="I243" s="5">
        <f t="shared" si="3"/>
        <v>60.48718873</v>
      </c>
      <c r="J243" s="5">
        <f t="shared" si="4"/>
        <v>1.660879121</v>
      </c>
      <c r="K243" s="1" t="s">
        <v>15</v>
      </c>
      <c r="L243" s="6">
        <f t="shared" si="5"/>
        <v>0.0130952381</v>
      </c>
    </row>
    <row r="244" ht="15.75" customHeight="1">
      <c r="A244" s="3">
        <v>10.8390860476422</v>
      </c>
      <c r="B244" s="1" t="s">
        <v>13</v>
      </c>
      <c r="C244" s="3">
        <v>17.0</v>
      </c>
      <c r="D244" s="15" t="s">
        <v>20</v>
      </c>
      <c r="E244" s="8">
        <v>3.0</v>
      </c>
      <c r="F244" s="15">
        <v>2062.0</v>
      </c>
      <c r="G244" s="4">
        <f t="shared" si="1"/>
        <v>14</v>
      </c>
      <c r="H244" s="4">
        <f t="shared" si="2"/>
        <v>82.6</v>
      </c>
      <c r="I244" s="5">
        <f t="shared" si="3"/>
        <v>103.1246818</v>
      </c>
      <c r="J244" s="5">
        <f t="shared" si="4"/>
        <v>1.661684982</v>
      </c>
      <c r="K244" s="1" t="s">
        <v>15</v>
      </c>
      <c r="L244" s="6">
        <f t="shared" si="5"/>
        <v>0.01428571429</v>
      </c>
    </row>
    <row r="245" ht="15.75" customHeight="1">
      <c r="A245" s="3">
        <v>10.8546426835197</v>
      </c>
      <c r="B245" s="1" t="s">
        <v>13</v>
      </c>
      <c r="C245" s="3">
        <v>17.0</v>
      </c>
      <c r="D245" s="15" t="s">
        <v>20</v>
      </c>
      <c r="E245" s="8">
        <v>4.0</v>
      </c>
      <c r="F245" s="15">
        <v>2041.0</v>
      </c>
      <c r="G245" s="4">
        <f t="shared" si="1"/>
        <v>7</v>
      </c>
      <c r="H245" s="4">
        <f t="shared" si="2"/>
        <v>111.4</v>
      </c>
      <c r="I245" s="5">
        <f t="shared" si="3"/>
        <v>100.2212552</v>
      </c>
      <c r="J245" s="5">
        <f t="shared" si="4"/>
        <v>1.644761905</v>
      </c>
      <c r="K245" s="1" t="s">
        <v>15</v>
      </c>
      <c r="L245" s="6">
        <f t="shared" si="5"/>
        <v>0.005952380952</v>
      </c>
    </row>
    <row r="246" ht="15.75" customHeight="1">
      <c r="A246" s="3">
        <v>10.8701993193972</v>
      </c>
      <c r="B246" s="1" t="s">
        <v>13</v>
      </c>
      <c r="C246" s="3">
        <v>17.0</v>
      </c>
      <c r="D246" s="15" t="s">
        <v>20</v>
      </c>
      <c r="E246" s="8">
        <v>5.0</v>
      </c>
      <c r="F246" s="15">
        <v>2066.0</v>
      </c>
      <c r="G246" s="4">
        <f t="shared" si="1"/>
        <v>18</v>
      </c>
      <c r="H246" s="4">
        <f t="shared" si="2"/>
        <v>144.8</v>
      </c>
      <c r="I246" s="5">
        <f t="shared" si="3"/>
        <v>78.32432572</v>
      </c>
      <c r="J246" s="5">
        <f t="shared" si="4"/>
        <v>1.664908425</v>
      </c>
      <c r="K246" s="1" t="s">
        <v>15</v>
      </c>
      <c r="L246" s="6">
        <f t="shared" si="5"/>
        <v>0.01904761905</v>
      </c>
    </row>
    <row r="247" ht="15.75" customHeight="1">
      <c r="A247" s="3">
        <v>10.8857559552747</v>
      </c>
      <c r="B247" s="1" t="s">
        <v>13</v>
      </c>
      <c r="C247" s="3">
        <v>17.0</v>
      </c>
      <c r="D247" s="15" t="s">
        <v>20</v>
      </c>
      <c r="E247" s="8">
        <v>6.0</v>
      </c>
      <c r="F247" s="15">
        <v>2191.0</v>
      </c>
      <c r="G247" s="4">
        <f t="shared" si="1"/>
        <v>143</v>
      </c>
      <c r="H247" s="4">
        <f t="shared" si="2"/>
        <v>171.2</v>
      </c>
      <c r="I247" s="5">
        <f t="shared" si="3"/>
        <v>35.36523717</v>
      </c>
      <c r="J247" s="5">
        <f t="shared" si="4"/>
        <v>1.765641026</v>
      </c>
      <c r="K247" s="1" t="s">
        <v>16</v>
      </c>
      <c r="L247" s="6">
        <f t="shared" si="5"/>
        <v>0.1678571429</v>
      </c>
    </row>
    <row r="248" ht="15.75" customHeight="1">
      <c r="A248" s="3">
        <v>10.9013125911522</v>
      </c>
      <c r="B248" s="1" t="s">
        <v>13</v>
      </c>
      <c r="C248" s="3">
        <v>17.0</v>
      </c>
      <c r="D248" s="15" t="s">
        <v>20</v>
      </c>
      <c r="E248" s="8">
        <v>7.0</v>
      </c>
      <c r="F248" s="15">
        <v>2279.0</v>
      </c>
      <c r="G248" s="4">
        <f t="shared" si="1"/>
        <v>231</v>
      </c>
      <c r="H248" s="4">
        <f t="shared" si="2"/>
        <v>300.6</v>
      </c>
      <c r="I248" s="5">
        <f t="shared" si="3"/>
        <v>275.408424</v>
      </c>
      <c r="J248" s="5">
        <f t="shared" si="4"/>
        <v>1.836556777</v>
      </c>
      <c r="K248" s="1" t="s">
        <v>16</v>
      </c>
      <c r="L248" s="6">
        <f t="shared" si="5"/>
        <v>0.2726190476</v>
      </c>
    </row>
    <row r="249" ht="15.75" customHeight="1">
      <c r="A249" s="3">
        <v>10.9168692270297</v>
      </c>
      <c r="B249" s="1" t="s">
        <v>13</v>
      </c>
      <c r="C249" s="3">
        <v>17.0</v>
      </c>
      <c r="D249" s="15" t="s">
        <v>20</v>
      </c>
      <c r="E249" s="8">
        <v>8.0</v>
      </c>
      <c r="F249" s="15">
        <v>2206.0</v>
      </c>
      <c r="G249" s="4">
        <f t="shared" si="1"/>
        <v>158</v>
      </c>
      <c r="H249" s="4">
        <f t="shared" si="2"/>
        <v>401.8</v>
      </c>
      <c r="I249" s="5">
        <f t="shared" si="3"/>
        <v>330.8295634</v>
      </c>
      <c r="J249" s="5">
        <f t="shared" si="4"/>
        <v>1.777728938</v>
      </c>
      <c r="K249" s="1" t="s">
        <v>16</v>
      </c>
      <c r="L249" s="6">
        <f t="shared" si="5"/>
        <v>0.1857142857</v>
      </c>
    </row>
    <row r="250" ht="15.75" customHeight="1">
      <c r="A250" s="3">
        <v>10.9324258629072</v>
      </c>
      <c r="B250" s="1" t="s">
        <v>13</v>
      </c>
      <c r="C250" s="3">
        <v>17.0</v>
      </c>
      <c r="D250" s="15" t="s">
        <v>20</v>
      </c>
      <c r="E250" s="8">
        <v>9.0</v>
      </c>
      <c r="F250" s="15">
        <v>2222.0</v>
      </c>
      <c r="G250" s="4">
        <f t="shared" si="1"/>
        <v>174</v>
      </c>
      <c r="H250" s="4">
        <f t="shared" si="2"/>
        <v>503.6</v>
      </c>
      <c r="I250" s="5">
        <f t="shared" si="3"/>
        <v>314.9877775</v>
      </c>
      <c r="J250" s="5">
        <f t="shared" si="4"/>
        <v>1.790622711</v>
      </c>
      <c r="K250" s="1" t="s">
        <v>16</v>
      </c>
      <c r="L250" s="6">
        <f t="shared" si="5"/>
        <v>0.2047619048</v>
      </c>
    </row>
    <row r="251" ht="15.75" customHeight="1">
      <c r="A251" s="3">
        <v>10.9479824987846</v>
      </c>
      <c r="B251" s="1" t="s">
        <v>13</v>
      </c>
      <c r="C251" s="3">
        <v>17.0</v>
      </c>
      <c r="D251" s="15" t="s">
        <v>20</v>
      </c>
      <c r="E251" s="8">
        <v>10.0</v>
      </c>
      <c r="F251" s="15">
        <v>2198.0</v>
      </c>
      <c r="G251" s="4">
        <f t="shared" si="1"/>
        <v>150</v>
      </c>
      <c r="H251" s="4">
        <f t="shared" si="2"/>
        <v>574.8</v>
      </c>
      <c r="I251" s="5">
        <f t="shared" si="3"/>
        <v>256.7015777</v>
      </c>
      <c r="J251" s="5">
        <f t="shared" si="4"/>
        <v>1.771282051</v>
      </c>
      <c r="K251" s="1" t="s">
        <v>16</v>
      </c>
      <c r="L251" s="6">
        <f t="shared" si="5"/>
        <v>0.1761904762</v>
      </c>
    </row>
    <row r="252" ht="15.75" customHeight="1">
      <c r="A252" s="3">
        <v>10.9635391346621</v>
      </c>
      <c r="B252" s="1" t="s">
        <v>13</v>
      </c>
      <c r="C252" s="3">
        <v>17.0</v>
      </c>
      <c r="D252" s="15" t="s">
        <v>20</v>
      </c>
      <c r="E252" s="8">
        <v>11.0</v>
      </c>
      <c r="F252" s="15">
        <v>2838.0</v>
      </c>
      <c r="G252" s="4">
        <f t="shared" si="1"/>
        <v>790</v>
      </c>
      <c r="H252" s="4">
        <f t="shared" si="2"/>
        <v>677</v>
      </c>
      <c r="I252" s="5">
        <f t="shared" si="3"/>
        <v>97.89535229</v>
      </c>
      <c r="J252" s="5">
        <f t="shared" si="4"/>
        <v>2.287032967</v>
      </c>
      <c r="K252" s="1" t="s">
        <v>17</v>
      </c>
      <c r="L252" s="6">
        <f t="shared" si="5"/>
        <v>0.9380952381</v>
      </c>
    </row>
    <row r="253" ht="15.75" customHeight="1">
      <c r="A253" s="3">
        <v>10.9790957705396</v>
      </c>
      <c r="B253" s="1" t="s">
        <v>13</v>
      </c>
      <c r="C253" s="3">
        <v>17.0</v>
      </c>
      <c r="D253" s="15" t="s">
        <v>20</v>
      </c>
      <c r="E253" s="8">
        <v>12.0</v>
      </c>
      <c r="F253" s="15">
        <v>2785.0</v>
      </c>
      <c r="G253" s="4">
        <f t="shared" si="1"/>
        <v>737</v>
      </c>
      <c r="H253" s="4">
        <f t="shared" si="2"/>
        <v>519.6</v>
      </c>
      <c r="I253" s="5">
        <f t="shared" si="3"/>
        <v>300.9132765</v>
      </c>
      <c r="J253" s="5">
        <f t="shared" si="4"/>
        <v>2.244322344</v>
      </c>
      <c r="K253" s="1" t="s">
        <v>17</v>
      </c>
      <c r="L253" s="6">
        <f t="shared" si="5"/>
        <v>0.875</v>
      </c>
    </row>
    <row r="254" ht="15.75" customHeight="1">
      <c r="A254" s="3">
        <v>10.9946524064171</v>
      </c>
      <c r="B254" s="1" t="s">
        <v>13</v>
      </c>
      <c r="C254" s="3">
        <v>17.0</v>
      </c>
      <c r="D254" s="15" t="s">
        <v>20</v>
      </c>
      <c r="E254" s="8">
        <v>13.0</v>
      </c>
      <c r="F254" s="15">
        <v>2715.0</v>
      </c>
      <c r="G254" s="4">
        <f t="shared" si="1"/>
        <v>667</v>
      </c>
      <c r="H254" s="4">
        <f t="shared" si="2"/>
        <v>373.4</v>
      </c>
      <c r="I254" s="5">
        <f t="shared" si="3"/>
        <v>342.8158398</v>
      </c>
      <c r="J254" s="5">
        <f t="shared" si="4"/>
        <v>2.187912088</v>
      </c>
      <c r="K254" s="1" t="s">
        <v>17</v>
      </c>
      <c r="L254" s="6">
        <f t="shared" si="5"/>
        <v>0.7916666667</v>
      </c>
    </row>
    <row r="255" ht="15.75" customHeight="1">
      <c r="A255" s="3">
        <v>11.0102090422946</v>
      </c>
      <c r="B255" s="1" t="s">
        <v>13</v>
      </c>
      <c r="C255" s="3">
        <v>17.0</v>
      </c>
      <c r="D255" s="15" t="s">
        <v>20</v>
      </c>
      <c r="E255" s="8">
        <v>14.0</v>
      </c>
      <c r="F255" s="15">
        <v>2578.0</v>
      </c>
      <c r="G255" s="4">
        <f t="shared" si="1"/>
        <v>530</v>
      </c>
      <c r="H255" s="4">
        <f t="shared" si="2"/>
        <v>244.2</v>
      </c>
      <c r="I255" s="5">
        <f t="shared" si="3"/>
        <v>325.216082</v>
      </c>
      <c r="J255" s="5">
        <f t="shared" si="4"/>
        <v>2.077509158</v>
      </c>
      <c r="K255" s="1" t="s">
        <v>17</v>
      </c>
      <c r="L255" s="6">
        <f t="shared" si="5"/>
        <v>0.6285714286</v>
      </c>
    </row>
    <row r="256" ht="15.75" customHeight="1">
      <c r="A256" s="3">
        <v>11.0257656781721</v>
      </c>
      <c r="B256" s="1" t="s">
        <v>13</v>
      </c>
      <c r="C256" s="3">
        <v>17.0</v>
      </c>
      <c r="D256" s="15" t="s">
        <v>20</v>
      </c>
      <c r="E256" s="8">
        <v>15.0</v>
      </c>
      <c r="F256" s="15">
        <v>2709.0</v>
      </c>
      <c r="G256" s="4">
        <f t="shared" si="1"/>
        <v>661</v>
      </c>
      <c r="H256" s="4">
        <f t="shared" si="2"/>
        <v>139</v>
      </c>
      <c r="I256" s="5">
        <f t="shared" si="3"/>
        <v>293.5433528</v>
      </c>
      <c r="J256" s="5">
        <f t="shared" si="4"/>
        <v>2.183076923</v>
      </c>
      <c r="K256" s="1" t="s">
        <v>17</v>
      </c>
      <c r="L256" s="6">
        <f t="shared" si="5"/>
        <v>0.7845238095</v>
      </c>
    </row>
    <row r="257" ht="15.75" customHeight="1">
      <c r="A257" s="8">
        <v>11.0413223140496</v>
      </c>
      <c r="B257" s="9" t="s">
        <v>18</v>
      </c>
      <c r="C257" s="3">
        <v>15.0</v>
      </c>
      <c r="D257" s="15" t="s">
        <v>14</v>
      </c>
      <c r="E257" s="8">
        <v>1.0</v>
      </c>
      <c r="F257" s="15">
        <v>2045.0</v>
      </c>
      <c r="G257" s="4">
        <f t="shared" si="1"/>
        <v>3</v>
      </c>
      <c r="H257" s="4">
        <f t="shared" si="2"/>
        <v>7.8</v>
      </c>
      <c r="I257" s="5">
        <f t="shared" si="3"/>
        <v>10.9772492</v>
      </c>
      <c r="J257" s="5">
        <f t="shared" si="4"/>
        <v>1.647985348</v>
      </c>
      <c r="K257" s="1" t="s">
        <v>15</v>
      </c>
      <c r="L257" s="6">
        <f t="shared" si="5"/>
        <v>0.00119047619</v>
      </c>
    </row>
    <row r="258" ht="15.75" customHeight="1">
      <c r="A258" s="8">
        <v>11.0568789499271</v>
      </c>
      <c r="B258" s="12" t="s">
        <v>18</v>
      </c>
      <c r="C258" s="3">
        <v>15.0</v>
      </c>
      <c r="D258" s="15" t="s">
        <v>14</v>
      </c>
      <c r="E258" s="8">
        <v>2.0</v>
      </c>
      <c r="F258" s="15">
        <v>2054.0</v>
      </c>
      <c r="G258" s="4">
        <f t="shared" si="1"/>
        <v>6</v>
      </c>
      <c r="H258" s="4">
        <f t="shared" si="2"/>
        <v>38</v>
      </c>
      <c r="I258" s="5">
        <f t="shared" si="3"/>
        <v>67.67052534</v>
      </c>
      <c r="J258" s="5">
        <f t="shared" si="4"/>
        <v>1.655238095</v>
      </c>
      <c r="K258" s="1" t="s">
        <v>15</v>
      </c>
      <c r="L258" s="6">
        <f t="shared" si="5"/>
        <v>0.004761904762</v>
      </c>
    </row>
    <row r="259" ht="15.75" customHeight="1">
      <c r="A259" s="8">
        <v>11.0724355858046</v>
      </c>
      <c r="B259" s="9" t="s">
        <v>18</v>
      </c>
      <c r="C259" s="3">
        <v>15.0</v>
      </c>
      <c r="D259" s="15" t="s">
        <v>14</v>
      </c>
      <c r="E259" s="8">
        <v>3.0</v>
      </c>
      <c r="F259" s="15">
        <v>2069.0</v>
      </c>
      <c r="G259" s="4">
        <f t="shared" si="1"/>
        <v>21</v>
      </c>
      <c r="H259" s="4">
        <f t="shared" si="2"/>
        <v>77</v>
      </c>
      <c r="I259" s="5">
        <f t="shared" si="3"/>
        <v>97.03246879</v>
      </c>
      <c r="J259" s="5">
        <f t="shared" si="4"/>
        <v>1.667326007</v>
      </c>
      <c r="K259" s="1" t="s">
        <v>15</v>
      </c>
      <c r="L259" s="6">
        <f t="shared" si="5"/>
        <v>0.02261904762</v>
      </c>
    </row>
    <row r="260" ht="15.75" customHeight="1">
      <c r="A260" s="8">
        <v>11.0879922216821</v>
      </c>
      <c r="B260" s="12" t="s">
        <v>18</v>
      </c>
      <c r="C260" s="3">
        <v>15.0</v>
      </c>
      <c r="D260" s="15" t="s">
        <v>14</v>
      </c>
      <c r="E260" s="8">
        <v>4.0</v>
      </c>
      <c r="F260" s="15">
        <v>2044.0</v>
      </c>
      <c r="G260" s="4">
        <f t="shared" si="1"/>
        <v>4</v>
      </c>
      <c r="H260" s="4">
        <f t="shared" si="2"/>
        <v>102.4</v>
      </c>
      <c r="I260" s="5">
        <f t="shared" si="3"/>
        <v>96.50751266</v>
      </c>
      <c r="J260" s="5">
        <f t="shared" si="4"/>
        <v>1.647179487</v>
      </c>
      <c r="K260" s="1" t="s">
        <v>15</v>
      </c>
      <c r="L260" s="6">
        <f t="shared" si="5"/>
        <v>0.002380952381</v>
      </c>
    </row>
    <row r="261" ht="15.75" customHeight="1">
      <c r="A261" s="8">
        <v>11.1035488575596</v>
      </c>
      <c r="B261" s="9" t="s">
        <v>18</v>
      </c>
      <c r="C261" s="3">
        <v>15.0</v>
      </c>
      <c r="D261" s="15" t="s">
        <v>14</v>
      </c>
      <c r="E261" s="8">
        <v>5.0</v>
      </c>
      <c r="F261" s="15">
        <v>2043.0</v>
      </c>
      <c r="G261" s="4">
        <f t="shared" si="1"/>
        <v>5</v>
      </c>
      <c r="H261" s="4">
        <f t="shared" si="2"/>
        <v>141.2</v>
      </c>
      <c r="I261" s="5">
        <f t="shared" si="3"/>
        <v>84.21223189</v>
      </c>
      <c r="J261" s="5">
        <f t="shared" si="4"/>
        <v>1.646373626</v>
      </c>
      <c r="K261" s="1" t="s">
        <v>15</v>
      </c>
      <c r="L261" s="6">
        <f t="shared" si="5"/>
        <v>0.003571428571</v>
      </c>
    </row>
    <row r="262" ht="15.75" customHeight="1">
      <c r="A262" s="8">
        <v>11.1191054934371</v>
      </c>
      <c r="B262" s="12" t="s">
        <v>18</v>
      </c>
      <c r="C262" s="3">
        <v>15.0</v>
      </c>
      <c r="D262" s="15" t="s">
        <v>14</v>
      </c>
      <c r="E262" s="8">
        <v>6.0</v>
      </c>
      <c r="F262" s="15">
        <v>2202.0</v>
      </c>
      <c r="G262" s="4">
        <f t="shared" si="1"/>
        <v>154</v>
      </c>
      <c r="H262" s="4">
        <f t="shared" si="2"/>
        <v>175.6</v>
      </c>
      <c r="I262" s="5">
        <f t="shared" si="3"/>
        <v>24.37826901</v>
      </c>
      <c r="J262" s="5">
        <f t="shared" si="4"/>
        <v>1.774505495</v>
      </c>
      <c r="K262" s="1" t="s">
        <v>16</v>
      </c>
      <c r="L262" s="6">
        <f t="shared" si="5"/>
        <v>0.180952381</v>
      </c>
    </row>
    <row r="263" ht="15.75" customHeight="1">
      <c r="A263" s="8">
        <v>11.1346621293145</v>
      </c>
      <c r="B263" s="9" t="s">
        <v>18</v>
      </c>
      <c r="C263" s="3">
        <v>15.0</v>
      </c>
      <c r="D263" s="15" t="s">
        <v>14</v>
      </c>
      <c r="E263" s="8">
        <v>7.0</v>
      </c>
      <c r="F263" s="15">
        <v>2249.0</v>
      </c>
      <c r="G263" s="4">
        <f t="shared" si="1"/>
        <v>201</v>
      </c>
      <c r="H263" s="4">
        <f t="shared" si="2"/>
        <v>277.6</v>
      </c>
      <c r="I263" s="5">
        <f t="shared" si="3"/>
        <v>217.0398581</v>
      </c>
      <c r="J263" s="5">
        <f t="shared" si="4"/>
        <v>1.812380952</v>
      </c>
      <c r="K263" s="1" t="s">
        <v>16</v>
      </c>
      <c r="L263" s="6">
        <f t="shared" si="5"/>
        <v>0.2369047619</v>
      </c>
    </row>
    <row r="264" ht="15.75" customHeight="1">
      <c r="A264" s="8">
        <v>11.150218765192</v>
      </c>
      <c r="B264" s="12" t="s">
        <v>18</v>
      </c>
      <c r="C264" s="3">
        <v>15.0</v>
      </c>
      <c r="D264" s="15" t="s">
        <v>14</v>
      </c>
      <c r="E264" s="8">
        <v>8.0</v>
      </c>
      <c r="F264" s="15">
        <v>2196.0</v>
      </c>
      <c r="G264" s="4">
        <f t="shared" si="1"/>
        <v>148</v>
      </c>
      <c r="H264" s="4">
        <f t="shared" si="2"/>
        <v>339.6</v>
      </c>
      <c r="I264" s="5">
        <f t="shared" si="3"/>
        <v>233.3523088</v>
      </c>
      <c r="J264" s="5">
        <f t="shared" si="4"/>
        <v>1.76967033</v>
      </c>
      <c r="K264" s="1" t="s">
        <v>16</v>
      </c>
      <c r="L264" s="6">
        <f t="shared" si="5"/>
        <v>0.1738095238</v>
      </c>
    </row>
    <row r="265" ht="15.75" customHeight="1">
      <c r="A265" s="8">
        <v>11.1657754010695</v>
      </c>
      <c r="B265" s="9" t="s">
        <v>18</v>
      </c>
      <c r="C265" s="3">
        <v>15.0</v>
      </c>
      <c r="D265" s="15" t="s">
        <v>14</v>
      </c>
      <c r="E265" s="8">
        <v>9.0</v>
      </c>
      <c r="F265" s="15">
        <v>2246.0</v>
      </c>
      <c r="G265" s="4">
        <f t="shared" si="1"/>
        <v>198</v>
      </c>
      <c r="H265" s="4">
        <f t="shared" si="2"/>
        <v>472.4</v>
      </c>
      <c r="I265" s="5">
        <f t="shared" si="3"/>
        <v>281.1072749</v>
      </c>
      <c r="J265" s="5">
        <f t="shared" si="4"/>
        <v>1.80996337</v>
      </c>
      <c r="K265" s="1" t="s">
        <v>16</v>
      </c>
      <c r="L265" s="6">
        <f t="shared" si="5"/>
        <v>0.2333333333</v>
      </c>
    </row>
    <row r="266" ht="15.75" customHeight="1">
      <c r="A266" s="8">
        <v>11.181332036947</v>
      </c>
      <c r="B266" s="12" t="s">
        <v>18</v>
      </c>
      <c r="C266" s="3">
        <v>15.0</v>
      </c>
      <c r="D266" s="15" t="s">
        <v>14</v>
      </c>
      <c r="E266" s="8">
        <v>10.0</v>
      </c>
      <c r="F266" s="15">
        <v>2225.0</v>
      </c>
      <c r="G266" s="4">
        <f t="shared" si="1"/>
        <v>177</v>
      </c>
      <c r="H266" s="4">
        <f t="shared" si="2"/>
        <v>583.8</v>
      </c>
      <c r="I266" s="5">
        <f t="shared" si="3"/>
        <v>254.2650192</v>
      </c>
      <c r="J266" s="5">
        <f t="shared" si="4"/>
        <v>1.793040293</v>
      </c>
      <c r="K266" s="1" t="s">
        <v>16</v>
      </c>
      <c r="L266" s="6">
        <f t="shared" si="5"/>
        <v>0.2083333333</v>
      </c>
    </row>
    <row r="267" ht="15.75" customHeight="1">
      <c r="A267" s="8">
        <v>11.1968886728245</v>
      </c>
      <c r="B267" s="9" t="s">
        <v>18</v>
      </c>
      <c r="C267" s="3">
        <v>15.0</v>
      </c>
      <c r="D267" s="15" t="s">
        <v>14</v>
      </c>
      <c r="E267" s="8">
        <v>11.0</v>
      </c>
      <c r="F267" s="15">
        <v>2712.0</v>
      </c>
      <c r="G267" s="4">
        <f t="shared" si="1"/>
        <v>664</v>
      </c>
      <c r="H267" s="4">
        <f t="shared" si="2"/>
        <v>726.6</v>
      </c>
      <c r="I267" s="5">
        <f t="shared" si="3"/>
        <v>146.2268785</v>
      </c>
      <c r="J267" s="5">
        <f t="shared" si="4"/>
        <v>2.185494505</v>
      </c>
      <c r="K267" s="1" t="s">
        <v>17</v>
      </c>
      <c r="L267" s="6">
        <f t="shared" si="5"/>
        <v>0.7880952381</v>
      </c>
    </row>
    <row r="268" ht="15.75" customHeight="1">
      <c r="A268" s="8">
        <v>11.212445308702</v>
      </c>
      <c r="B268" s="12" t="s">
        <v>18</v>
      </c>
      <c r="C268" s="3">
        <v>15.0</v>
      </c>
      <c r="D268" s="15" t="s">
        <v>14</v>
      </c>
      <c r="E268" s="8">
        <v>12.0</v>
      </c>
      <c r="F268" s="15">
        <v>2559.0</v>
      </c>
      <c r="G268" s="4">
        <f t="shared" si="1"/>
        <v>511</v>
      </c>
      <c r="H268" s="4">
        <f t="shared" si="2"/>
        <v>601.2</v>
      </c>
      <c r="I268" s="5">
        <f t="shared" si="3"/>
        <v>345.8803261</v>
      </c>
      <c r="J268" s="5">
        <f t="shared" si="4"/>
        <v>2.062197802</v>
      </c>
      <c r="K268" s="1" t="s">
        <v>17</v>
      </c>
      <c r="L268" s="6">
        <f t="shared" si="5"/>
        <v>0.605952381</v>
      </c>
    </row>
    <row r="269" ht="15.75" customHeight="1">
      <c r="A269" s="8">
        <v>11.2280019445795</v>
      </c>
      <c r="B269" s="9" t="s">
        <v>18</v>
      </c>
      <c r="C269" s="3">
        <v>15.0</v>
      </c>
      <c r="D269" s="15" t="s">
        <v>14</v>
      </c>
      <c r="E269" s="8">
        <v>13.0</v>
      </c>
      <c r="F269" s="15">
        <v>2860.0</v>
      </c>
      <c r="G269" s="4">
        <f t="shared" si="1"/>
        <v>812</v>
      </c>
      <c r="H269" s="4">
        <f t="shared" si="2"/>
        <v>507.4</v>
      </c>
      <c r="I269" s="5">
        <f t="shared" si="3"/>
        <v>429.8573019</v>
      </c>
      <c r="J269" s="5">
        <f t="shared" si="4"/>
        <v>2.304761905</v>
      </c>
      <c r="K269" s="1" t="s">
        <v>17</v>
      </c>
      <c r="L269" s="6">
        <f t="shared" si="5"/>
        <v>0.9642857143</v>
      </c>
    </row>
    <row r="270" ht="15.75" customHeight="1">
      <c r="A270" s="8">
        <v>11.243558580457</v>
      </c>
      <c r="B270" s="12" t="s">
        <v>18</v>
      </c>
      <c r="C270" s="3">
        <v>15.0</v>
      </c>
      <c r="D270" s="15" t="s">
        <v>14</v>
      </c>
      <c r="E270" s="8">
        <v>14.0</v>
      </c>
      <c r="F270" s="15">
        <v>2803.0</v>
      </c>
      <c r="G270" s="4">
        <f t="shared" si="1"/>
        <v>755</v>
      </c>
      <c r="H270" s="4">
        <f t="shared" si="2"/>
        <v>350.4</v>
      </c>
      <c r="I270" s="5">
        <f t="shared" si="3"/>
        <v>434.127631</v>
      </c>
      <c r="J270" s="5">
        <f t="shared" si="4"/>
        <v>2.258827839</v>
      </c>
      <c r="K270" s="1" t="s">
        <v>17</v>
      </c>
      <c r="L270" s="6">
        <f t="shared" si="5"/>
        <v>0.8964285714</v>
      </c>
    </row>
    <row r="271" ht="15.75" customHeight="1">
      <c r="A271" s="8">
        <v>11.2591152163345</v>
      </c>
      <c r="B271" s="9" t="s">
        <v>18</v>
      </c>
      <c r="C271" s="3">
        <v>15.0</v>
      </c>
      <c r="D271" s="15" t="s">
        <v>14</v>
      </c>
      <c r="E271" s="8">
        <v>15.0</v>
      </c>
      <c r="F271" s="15">
        <v>2939.0</v>
      </c>
      <c r="G271" s="4">
        <f t="shared" si="1"/>
        <v>891</v>
      </c>
      <c r="H271" s="4">
        <f t="shared" si="2"/>
        <v>205.8</v>
      </c>
      <c r="I271" s="5">
        <f t="shared" si="3"/>
        <v>383.0792346</v>
      </c>
      <c r="J271" s="5">
        <f t="shared" si="4"/>
        <v>2.368424908</v>
      </c>
      <c r="K271" s="1" t="s">
        <v>17</v>
      </c>
      <c r="L271" s="6">
        <f t="shared" si="5"/>
        <v>1.058333333</v>
      </c>
    </row>
    <row r="272" ht="15.75" customHeight="1">
      <c r="A272" s="8">
        <v>11.274671852212</v>
      </c>
      <c r="B272" s="12" t="s">
        <v>19</v>
      </c>
      <c r="C272" s="3">
        <v>31.0</v>
      </c>
      <c r="D272" s="15" t="s">
        <v>14</v>
      </c>
      <c r="E272" s="8">
        <v>1.0</v>
      </c>
      <c r="F272" s="15">
        <v>2085.0</v>
      </c>
      <c r="G272" s="4">
        <f t="shared" si="1"/>
        <v>37</v>
      </c>
      <c r="H272" s="4">
        <f t="shared" si="2"/>
        <v>33.6</v>
      </c>
      <c r="I272" s="5">
        <f t="shared" si="3"/>
        <v>5.941380311</v>
      </c>
      <c r="J272" s="5">
        <f t="shared" si="4"/>
        <v>1.68021978</v>
      </c>
      <c r="K272" s="1" t="s">
        <v>15</v>
      </c>
      <c r="L272" s="6">
        <f t="shared" si="5"/>
        <v>0.04166666667</v>
      </c>
    </row>
    <row r="273" ht="15.75" customHeight="1">
      <c r="A273" s="8">
        <v>11.2902284880895</v>
      </c>
      <c r="B273" s="9" t="s">
        <v>19</v>
      </c>
      <c r="C273" s="3">
        <v>31.0</v>
      </c>
      <c r="D273" s="15" t="s">
        <v>14</v>
      </c>
      <c r="E273" s="8">
        <v>2.0</v>
      </c>
      <c r="F273" s="15">
        <v>2090.0</v>
      </c>
      <c r="G273" s="4">
        <f t="shared" si="1"/>
        <v>42</v>
      </c>
      <c r="H273" s="4">
        <f t="shared" si="2"/>
        <v>84.6</v>
      </c>
      <c r="I273" s="5">
        <f t="shared" si="3"/>
        <v>116.0766988</v>
      </c>
      <c r="J273" s="5">
        <f t="shared" si="4"/>
        <v>1.684249084</v>
      </c>
      <c r="K273" s="1" t="s">
        <v>15</v>
      </c>
      <c r="L273" s="6">
        <f t="shared" si="5"/>
        <v>0.04761904762</v>
      </c>
    </row>
    <row r="274" ht="15.75" customHeight="1">
      <c r="A274" s="8">
        <v>11.3057851239669</v>
      </c>
      <c r="B274" s="12" t="s">
        <v>19</v>
      </c>
      <c r="C274" s="3">
        <v>31.0</v>
      </c>
      <c r="D274" s="15" t="s">
        <v>14</v>
      </c>
      <c r="E274" s="8">
        <v>3.0</v>
      </c>
      <c r="F274" s="15">
        <v>2075.0</v>
      </c>
      <c r="G274" s="4">
        <f t="shared" si="1"/>
        <v>27</v>
      </c>
      <c r="H274" s="4">
        <f t="shared" si="2"/>
        <v>139.6</v>
      </c>
      <c r="I274" s="5">
        <f t="shared" si="3"/>
        <v>150.8021883</v>
      </c>
      <c r="J274" s="5">
        <f t="shared" si="4"/>
        <v>1.672161172</v>
      </c>
      <c r="K274" s="1" t="s">
        <v>15</v>
      </c>
      <c r="L274" s="6">
        <f t="shared" si="5"/>
        <v>0.02976190476</v>
      </c>
    </row>
    <row r="275" ht="15.75" customHeight="1">
      <c r="A275" s="8">
        <v>11.3213417598444</v>
      </c>
      <c r="B275" s="9" t="s">
        <v>19</v>
      </c>
      <c r="C275" s="3">
        <v>31.0</v>
      </c>
      <c r="D275" s="15" t="s">
        <v>14</v>
      </c>
      <c r="E275" s="8">
        <v>4.0</v>
      </c>
      <c r="F275" s="15">
        <v>2080.0</v>
      </c>
      <c r="G275" s="4">
        <f t="shared" si="1"/>
        <v>32</v>
      </c>
      <c r="H275" s="4">
        <f t="shared" si="2"/>
        <v>189.6</v>
      </c>
      <c r="I275" s="5">
        <f t="shared" si="3"/>
        <v>145.4864255</v>
      </c>
      <c r="J275" s="5">
        <f t="shared" si="4"/>
        <v>1.676190476</v>
      </c>
      <c r="K275" s="1" t="s">
        <v>15</v>
      </c>
      <c r="L275" s="6">
        <f t="shared" si="5"/>
        <v>0.03571428571</v>
      </c>
    </row>
    <row r="276" ht="15.75" customHeight="1">
      <c r="A276" s="8">
        <v>11.3368983957219</v>
      </c>
      <c r="B276" s="12" t="s">
        <v>19</v>
      </c>
      <c r="C276" s="3">
        <v>31.0</v>
      </c>
      <c r="D276" s="15" t="s">
        <v>14</v>
      </c>
      <c r="E276" s="8">
        <v>5.0</v>
      </c>
      <c r="F276" s="15">
        <v>2078.0</v>
      </c>
      <c r="G276" s="4">
        <f t="shared" si="1"/>
        <v>30</v>
      </c>
      <c r="H276" s="4">
        <f t="shared" si="2"/>
        <v>243.6</v>
      </c>
      <c r="I276" s="5">
        <f t="shared" si="3"/>
        <v>120.29256</v>
      </c>
      <c r="J276" s="5">
        <f t="shared" si="4"/>
        <v>1.674578755</v>
      </c>
      <c r="K276" s="1" t="s">
        <v>15</v>
      </c>
      <c r="L276" s="6">
        <f t="shared" si="5"/>
        <v>0.03333333333</v>
      </c>
    </row>
    <row r="277" ht="15.75" customHeight="1">
      <c r="A277" s="8">
        <v>11.3524550315994</v>
      </c>
      <c r="B277" s="9" t="s">
        <v>19</v>
      </c>
      <c r="C277" s="3">
        <v>31.0</v>
      </c>
      <c r="D277" s="15" t="s">
        <v>14</v>
      </c>
      <c r="E277" s="8">
        <v>6.0</v>
      </c>
      <c r="F277" s="15">
        <v>2340.0</v>
      </c>
      <c r="G277" s="4">
        <f t="shared" si="1"/>
        <v>292</v>
      </c>
      <c r="H277" s="4">
        <f t="shared" si="2"/>
        <v>294</v>
      </c>
      <c r="I277" s="5">
        <f t="shared" si="3"/>
        <v>16.04680654</v>
      </c>
      <c r="J277" s="5">
        <f t="shared" si="4"/>
        <v>1.885714286</v>
      </c>
      <c r="K277" s="1" t="s">
        <v>16</v>
      </c>
      <c r="L277" s="6">
        <f t="shared" si="5"/>
        <v>0.3452380952</v>
      </c>
    </row>
    <row r="278" ht="15.75" customHeight="1">
      <c r="A278" s="8">
        <v>11.3680116674769</v>
      </c>
      <c r="B278" s="12" t="s">
        <v>19</v>
      </c>
      <c r="C278" s="3">
        <v>31.0</v>
      </c>
      <c r="D278" s="15" t="s">
        <v>14</v>
      </c>
      <c r="E278" s="8">
        <v>7.0</v>
      </c>
      <c r="F278" s="15">
        <v>2365.0</v>
      </c>
      <c r="G278" s="4">
        <f t="shared" si="1"/>
        <v>317</v>
      </c>
      <c r="H278" s="4">
        <f t="shared" si="2"/>
        <v>376</v>
      </c>
      <c r="I278" s="5">
        <f t="shared" si="3"/>
        <v>182.9412474</v>
      </c>
      <c r="J278" s="5">
        <f t="shared" si="4"/>
        <v>1.905860806</v>
      </c>
      <c r="K278" s="1" t="s">
        <v>16</v>
      </c>
      <c r="L278" s="6">
        <f t="shared" si="5"/>
        <v>0.375</v>
      </c>
    </row>
    <row r="279" ht="15.75" customHeight="1">
      <c r="A279" s="8">
        <v>11.3835683033544</v>
      </c>
      <c r="B279" s="9" t="s">
        <v>19</v>
      </c>
      <c r="C279" s="3">
        <v>31.0</v>
      </c>
      <c r="D279" s="15" t="s">
        <v>14</v>
      </c>
      <c r="E279" s="8">
        <v>8.0</v>
      </c>
      <c r="F279" s="15">
        <v>2325.0</v>
      </c>
      <c r="G279" s="4">
        <f t="shared" si="1"/>
        <v>277</v>
      </c>
      <c r="H279" s="4">
        <f t="shared" si="2"/>
        <v>463</v>
      </c>
      <c r="I279" s="5">
        <f t="shared" si="3"/>
        <v>241.826384</v>
      </c>
      <c r="J279" s="5">
        <f t="shared" si="4"/>
        <v>1.873626374</v>
      </c>
      <c r="K279" s="1" t="s">
        <v>16</v>
      </c>
      <c r="L279" s="6">
        <f t="shared" si="5"/>
        <v>0.3273809524</v>
      </c>
    </row>
    <row r="280" ht="15.75" customHeight="1">
      <c r="A280" s="8">
        <v>11.3991249392319</v>
      </c>
      <c r="B280" s="12" t="s">
        <v>19</v>
      </c>
      <c r="C280" s="3">
        <v>31.0</v>
      </c>
      <c r="D280" s="15" t="s">
        <v>14</v>
      </c>
      <c r="E280" s="8">
        <v>9.0</v>
      </c>
      <c r="F280" s="15">
        <v>2350.0</v>
      </c>
      <c r="G280" s="4">
        <f t="shared" si="1"/>
        <v>302</v>
      </c>
      <c r="H280" s="4">
        <f t="shared" si="2"/>
        <v>553</v>
      </c>
      <c r="I280" s="5">
        <f t="shared" si="3"/>
        <v>239.0188277</v>
      </c>
      <c r="J280" s="5">
        <f t="shared" si="4"/>
        <v>1.893772894</v>
      </c>
      <c r="K280" s="1" t="s">
        <v>16</v>
      </c>
      <c r="L280" s="6">
        <f t="shared" si="5"/>
        <v>0.3571428571</v>
      </c>
    </row>
    <row r="281" ht="15.75" customHeight="1">
      <c r="A281" s="8">
        <v>11.4146815751094</v>
      </c>
      <c r="B281" s="9" t="s">
        <v>19</v>
      </c>
      <c r="C281" s="3">
        <v>31.0</v>
      </c>
      <c r="D281" s="15" t="s">
        <v>14</v>
      </c>
      <c r="E281" s="8">
        <v>10.0</v>
      </c>
      <c r="F281" s="16">
        <v>2330.0</v>
      </c>
      <c r="G281" s="4">
        <f t="shared" si="1"/>
        <v>282</v>
      </c>
      <c r="H281" s="4">
        <f t="shared" si="2"/>
        <v>640</v>
      </c>
      <c r="I281" s="5">
        <f t="shared" si="3"/>
        <v>200.9539748</v>
      </c>
      <c r="J281" s="5">
        <f t="shared" si="4"/>
        <v>1.877655678</v>
      </c>
      <c r="K281" s="1" t="s">
        <v>16</v>
      </c>
      <c r="L281" s="6">
        <f t="shared" si="5"/>
        <v>0.3333333333</v>
      </c>
    </row>
    <row r="282" ht="15.75" customHeight="1">
      <c r="A282" s="8">
        <v>11.4302382109869</v>
      </c>
      <c r="B282" s="12" t="s">
        <v>19</v>
      </c>
      <c r="C282" s="3">
        <v>31.0</v>
      </c>
      <c r="D282" s="15" t="s">
        <v>14</v>
      </c>
      <c r="E282" s="8">
        <v>11.0</v>
      </c>
      <c r="F282" s="15">
        <v>2750.0</v>
      </c>
      <c r="G282" s="4">
        <f t="shared" si="1"/>
        <v>702</v>
      </c>
      <c r="H282" s="4">
        <f t="shared" si="2"/>
        <v>732</v>
      </c>
      <c r="I282" s="5">
        <f t="shared" si="3"/>
        <v>19.03943276</v>
      </c>
      <c r="J282" s="5">
        <f t="shared" si="4"/>
        <v>2.216117216</v>
      </c>
      <c r="K282" s="1" t="s">
        <v>17</v>
      </c>
      <c r="L282" s="6">
        <f t="shared" si="5"/>
        <v>0.8333333333</v>
      </c>
    </row>
    <row r="283" ht="15.75" customHeight="1">
      <c r="A283" s="8">
        <v>11.4457948468644</v>
      </c>
      <c r="B283" s="9" t="s">
        <v>19</v>
      </c>
      <c r="C283" s="3">
        <v>31.0</v>
      </c>
      <c r="D283" s="15" t="s">
        <v>14</v>
      </c>
      <c r="E283" s="8">
        <v>12.0</v>
      </c>
      <c r="F283" s="15">
        <v>2800.0</v>
      </c>
      <c r="G283" s="4">
        <f t="shared" si="1"/>
        <v>752</v>
      </c>
      <c r="H283" s="4">
        <f t="shared" si="2"/>
        <v>595.2</v>
      </c>
      <c r="I283" s="5">
        <f t="shared" si="3"/>
        <v>338.8841985</v>
      </c>
      <c r="J283" s="5">
        <f t="shared" si="4"/>
        <v>2.256410256</v>
      </c>
      <c r="K283" s="1" t="s">
        <v>17</v>
      </c>
      <c r="L283" s="6">
        <f t="shared" si="5"/>
        <v>0.8928571429</v>
      </c>
    </row>
    <row r="284" ht="15.75" customHeight="1">
      <c r="A284" s="8">
        <v>11.4613514827419</v>
      </c>
      <c r="B284" s="12" t="s">
        <v>19</v>
      </c>
      <c r="C284" s="3">
        <v>31.0</v>
      </c>
      <c r="D284" s="15" t="s">
        <v>14</v>
      </c>
      <c r="E284" s="8">
        <v>13.0</v>
      </c>
      <c r="F284" s="15">
        <v>2775.0</v>
      </c>
      <c r="G284" s="4">
        <f t="shared" si="1"/>
        <v>727</v>
      </c>
      <c r="H284" s="4">
        <f t="shared" si="2"/>
        <v>449.4</v>
      </c>
      <c r="I284" s="5">
        <f t="shared" si="3"/>
        <v>414.0259654</v>
      </c>
      <c r="J284" s="5">
        <f t="shared" si="4"/>
        <v>2.236263736</v>
      </c>
      <c r="K284" s="1" t="s">
        <v>17</v>
      </c>
      <c r="L284" s="6">
        <f t="shared" si="5"/>
        <v>0.8630952381</v>
      </c>
    </row>
    <row r="285" ht="15.75" customHeight="1">
      <c r="A285" s="8">
        <v>11.4769081186194</v>
      </c>
      <c r="B285" s="9" t="s">
        <v>19</v>
      </c>
      <c r="C285" s="3">
        <v>31.0</v>
      </c>
      <c r="D285" s="15" t="s">
        <v>14</v>
      </c>
      <c r="E285" s="8">
        <v>14.0</v>
      </c>
      <c r="F285" s="15">
        <v>2785.0</v>
      </c>
      <c r="G285" s="4">
        <f t="shared" si="1"/>
        <v>737</v>
      </c>
      <c r="H285" s="4">
        <f t="shared" si="2"/>
        <v>305.6</v>
      </c>
      <c r="I285" s="5">
        <f t="shared" si="3"/>
        <v>414.0259654</v>
      </c>
      <c r="J285" s="5">
        <f t="shared" si="4"/>
        <v>2.244322344</v>
      </c>
      <c r="K285" s="1" t="s">
        <v>17</v>
      </c>
      <c r="L285" s="6">
        <f t="shared" si="5"/>
        <v>0.875</v>
      </c>
    </row>
    <row r="286" ht="15.75" customHeight="1">
      <c r="A286" s="8">
        <v>11.4924647544968</v>
      </c>
      <c r="B286" s="12" t="s">
        <v>19</v>
      </c>
      <c r="C286" s="3">
        <v>31.0</v>
      </c>
      <c r="D286" s="15" t="s">
        <v>14</v>
      </c>
      <c r="E286" s="8">
        <v>15.0</v>
      </c>
      <c r="F286" s="15">
        <v>2790.0</v>
      </c>
      <c r="G286" s="4">
        <f t="shared" si="1"/>
        <v>742</v>
      </c>
      <c r="H286" s="4">
        <f t="shared" si="2"/>
        <v>160.8</v>
      </c>
      <c r="I286" s="5">
        <f t="shared" si="3"/>
        <v>338.810419</v>
      </c>
      <c r="J286" s="5">
        <f t="shared" si="4"/>
        <v>2.248351648</v>
      </c>
      <c r="K286" s="1" t="s">
        <v>17</v>
      </c>
      <c r="L286" s="6">
        <f t="shared" si="5"/>
        <v>0.880952381</v>
      </c>
    </row>
    <row r="287" ht="15.75" customHeight="1">
      <c r="A287" s="8">
        <v>11.5080213903743</v>
      </c>
      <c r="B287" s="9" t="s">
        <v>21</v>
      </c>
      <c r="C287" s="3">
        <v>40.0</v>
      </c>
      <c r="D287" s="15" t="s">
        <v>14</v>
      </c>
      <c r="E287" s="8">
        <v>1.0</v>
      </c>
      <c r="F287" s="1">
        <v>2030.0</v>
      </c>
      <c r="G287" s="4">
        <f t="shared" si="1"/>
        <v>18</v>
      </c>
      <c r="H287" s="4">
        <f t="shared" si="2"/>
        <v>14.4</v>
      </c>
      <c r="I287" s="5">
        <f t="shared" si="3"/>
        <v>6.107372594</v>
      </c>
      <c r="J287" s="5">
        <f t="shared" si="4"/>
        <v>1.635897436</v>
      </c>
      <c r="K287" s="1" t="s">
        <v>15</v>
      </c>
      <c r="L287" s="6">
        <f t="shared" si="5"/>
        <v>0.01904761905</v>
      </c>
    </row>
    <row r="288" ht="15.75" customHeight="1">
      <c r="A288" s="8">
        <v>11.5235780262518</v>
      </c>
      <c r="B288" s="12" t="s">
        <v>21</v>
      </c>
      <c r="C288" s="3">
        <v>40.0</v>
      </c>
      <c r="D288" s="15" t="s">
        <v>14</v>
      </c>
      <c r="E288" s="8">
        <v>2.0</v>
      </c>
      <c r="F288" s="1">
        <v>2025.0</v>
      </c>
      <c r="G288" s="4">
        <f t="shared" si="1"/>
        <v>23</v>
      </c>
      <c r="H288" s="4">
        <f t="shared" si="2"/>
        <v>43.2</v>
      </c>
      <c r="I288" s="5">
        <f t="shared" si="3"/>
        <v>78.6975222</v>
      </c>
      <c r="J288" s="5">
        <f t="shared" si="4"/>
        <v>1.631868132</v>
      </c>
      <c r="K288" s="1" t="s">
        <v>15</v>
      </c>
      <c r="L288" s="6">
        <f t="shared" si="5"/>
        <v>0.025</v>
      </c>
    </row>
    <row r="289" ht="15.75" customHeight="1">
      <c r="A289" s="8">
        <v>11.5391346621293</v>
      </c>
      <c r="B289" s="9" t="s">
        <v>21</v>
      </c>
      <c r="C289" s="3">
        <v>40.0</v>
      </c>
      <c r="D289" s="15" t="s">
        <v>14</v>
      </c>
      <c r="E289" s="8">
        <v>3.0</v>
      </c>
      <c r="F289" s="1">
        <v>2040.0</v>
      </c>
      <c r="G289" s="4">
        <f t="shared" si="1"/>
        <v>8</v>
      </c>
      <c r="H289" s="4">
        <f t="shared" si="2"/>
        <v>77</v>
      </c>
      <c r="I289" s="5">
        <f t="shared" si="3"/>
        <v>103.1687937</v>
      </c>
      <c r="J289" s="5">
        <f t="shared" si="4"/>
        <v>1.643956044</v>
      </c>
      <c r="K289" s="1" t="s">
        <v>15</v>
      </c>
      <c r="L289" s="6">
        <f t="shared" si="5"/>
        <v>0.007142857143</v>
      </c>
    </row>
    <row r="290" ht="15.75" customHeight="1">
      <c r="A290" s="8">
        <v>11.5546912980068</v>
      </c>
      <c r="B290" s="12" t="s">
        <v>21</v>
      </c>
      <c r="C290" s="3">
        <v>40.0</v>
      </c>
      <c r="D290" s="15" t="s">
        <v>14</v>
      </c>
      <c r="E290" s="8">
        <v>4.0</v>
      </c>
      <c r="F290" s="1">
        <v>2035.0</v>
      </c>
      <c r="G290" s="4">
        <f t="shared" si="1"/>
        <v>13</v>
      </c>
      <c r="H290" s="4">
        <f t="shared" si="2"/>
        <v>110.8</v>
      </c>
      <c r="I290" s="5">
        <f t="shared" si="3"/>
        <v>103.7945085</v>
      </c>
      <c r="J290" s="5">
        <f t="shared" si="4"/>
        <v>1.63992674</v>
      </c>
      <c r="K290" s="1" t="s">
        <v>15</v>
      </c>
      <c r="L290" s="6">
        <f t="shared" si="5"/>
        <v>0.0130952381</v>
      </c>
    </row>
    <row r="291" ht="15.75" customHeight="1">
      <c r="A291" s="8">
        <v>11.5702479338843</v>
      </c>
      <c r="B291" s="9" t="s">
        <v>21</v>
      </c>
      <c r="C291" s="3">
        <v>40.0</v>
      </c>
      <c r="D291" s="15" t="s">
        <v>14</v>
      </c>
      <c r="E291" s="8">
        <v>5.0</v>
      </c>
      <c r="F291" s="1">
        <v>2038.0</v>
      </c>
      <c r="G291" s="4">
        <f t="shared" si="1"/>
        <v>10</v>
      </c>
      <c r="H291" s="4">
        <f t="shared" si="2"/>
        <v>144.6</v>
      </c>
      <c r="I291" s="5">
        <f t="shared" si="3"/>
        <v>84.8810933</v>
      </c>
      <c r="J291" s="5">
        <f t="shared" si="4"/>
        <v>1.642344322</v>
      </c>
      <c r="K291" s="1" t="s">
        <v>15</v>
      </c>
      <c r="L291" s="6">
        <f t="shared" si="5"/>
        <v>0.009523809524</v>
      </c>
    </row>
    <row r="292" ht="15.75" customHeight="1">
      <c r="A292" s="8">
        <v>11.5858045697618</v>
      </c>
      <c r="B292" s="12" t="s">
        <v>21</v>
      </c>
      <c r="C292" s="3">
        <v>40.0</v>
      </c>
      <c r="D292" s="15" t="s">
        <v>14</v>
      </c>
      <c r="E292" s="8">
        <v>6.0</v>
      </c>
      <c r="F292" s="1">
        <v>2210.0</v>
      </c>
      <c r="G292" s="4">
        <f t="shared" si="1"/>
        <v>162</v>
      </c>
      <c r="H292" s="4">
        <f t="shared" si="2"/>
        <v>177</v>
      </c>
      <c r="I292" s="5">
        <f t="shared" si="3"/>
        <v>11.18033989</v>
      </c>
      <c r="J292" s="5">
        <f t="shared" si="4"/>
        <v>1.780952381</v>
      </c>
      <c r="K292" s="1" t="s">
        <v>16</v>
      </c>
      <c r="L292" s="6">
        <f t="shared" si="5"/>
        <v>0.1904761905</v>
      </c>
    </row>
    <row r="293" ht="15.75" customHeight="1">
      <c r="A293" s="8">
        <v>11.6013612056393</v>
      </c>
      <c r="B293" s="9" t="s">
        <v>21</v>
      </c>
      <c r="C293" s="3">
        <v>40.0</v>
      </c>
      <c r="D293" s="15" t="s">
        <v>14</v>
      </c>
      <c r="E293" s="8">
        <v>7.0</v>
      </c>
      <c r="F293" s="1">
        <v>2240.0</v>
      </c>
      <c r="G293" s="4">
        <f t="shared" si="1"/>
        <v>192</v>
      </c>
      <c r="H293" s="4">
        <f t="shared" si="2"/>
        <v>249</v>
      </c>
      <c r="I293" s="5">
        <f t="shared" si="3"/>
        <v>152.7907065</v>
      </c>
      <c r="J293" s="5">
        <f t="shared" si="4"/>
        <v>1.805128205</v>
      </c>
      <c r="K293" s="1" t="s">
        <v>16</v>
      </c>
      <c r="L293" s="6">
        <f t="shared" si="5"/>
        <v>0.2261904762</v>
      </c>
    </row>
    <row r="294" ht="15.75" customHeight="1">
      <c r="A294" s="8">
        <v>11.6169178415168</v>
      </c>
      <c r="B294" s="12" t="s">
        <v>21</v>
      </c>
      <c r="C294" s="3">
        <v>40.0</v>
      </c>
      <c r="D294" s="15" t="s">
        <v>14</v>
      </c>
      <c r="E294" s="8">
        <v>8.0</v>
      </c>
      <c r="F294" s="1">
        <v>2225.0</v>
      </c>
      <c r="G294" s="4">
        <f t="shared" si="1"/>
        <v>177</v>
      </c>
      <c r="H294" s="4">
        <f t="shared" si="2"/>
        <v>322</v>
      </c>
      <c r="I294" s="5">
        <f t="shared" si="3"/>
        <v>198.9660775</v>
      </c>
      <c r="J294" s="5">
        <f t="shared" si="4"/>
        <v>1.793040293</v>
      </c>
      <c r="K294" s="1" t="s">
        <v>16</v>
      </c>
      <c r="L294" s="6">
        <f t="shared" si="5"/>
        <v>0.2083333333</v>
      </c>
    </row>
    <row r="295" ht="15.75" customHeight="1">
      <c r="A295" s="8">
        <v>11.6324744773943</v>
      </c>
      <c r="B295" s="9" t="s">
        <v>21</v>
      </c>
      <c r="C295" s="3">
        <v>40.0</v>
      </c>
      <c r="D295" s="15" t="s">
        <v>14</v>
      </c>
      <c r="E295" s="8">
        <v>9.0</v>
      </c>
      <c r="F295" s="1">
        <v>2230.0</v>
      </c>
      <c r="G295" s="4">
        <f t="shared" si="1"/>
        <v>182</v>
      </c>
      <c r="H295" s="4">
        <f t="shared" si="2"/>
        <v>393</v>
      </c>
      <c r="I295" s="5">
        <f t="shared" si="3"/>
        <v>197.6233792</v>
      </c>
      <c r="J295" s="5">
        <f t="shared" si="4"/>
        <v>1.797069597</v>
      </c>
      <c r="K295" s="1" t="s">
        <v>16</v>
      </c>
      <c r="L295" s="6">
        <f t="shared" si="5"/>
        <v>0.2142857143</v>
      </c>
    </row>
    <row r="296" ht="15.75" customHeight="1">
      <c r="A296" s="8">
        <v>11.6480311132718</v>
      </c>
      <c r="B296" s="12" t="s">
        <v>21</v>
      </c>
      <c r="C296" s="3">
        <v>40.0</v>
      </c>
      <c r="D296" s="15" t="s">
        <v>14</v>
      </c>
      <c r="E296" s="8">
        <v>10.0</v>
      </c>
      <c r="F296" s="1">
        <v>2220.0</v>
      </c>
      <c r="G296" s="4">
        <f t="shared" si="1"/>
        <v>172</v>
      </c>
      <c r="H296" s="4">
        <f t="shared" si="2"/>
        <v>466</v>
      </c>
      <c r="I296" s="5">
        <f t="shared" si="3"/>
        <v>164.9014857</v>
      </c>
      <c r="J296" s="5">
        <f t="shared" si="4"/>
        <v>1.789010989</v>
      </c>
      <c r="K296" s="1" t="s">
        <v>16</v>
      </c>
      <c r="L296" s="6">
        <f t="shared" si="5"/>
        <v>0.2023809524</v>
      </c>
    </row>
    <row r="297" ht="15.75" customHeight="1">
      <c r="A297" s="8">
        <v>11.6635877491493</v>
      </c>
      <c r="B297" s="9" t="s">
        <v>21</v>
      </c>
      <c r="C297" s="3">
        <v>40.0</v>
      </c>
      <c r="D297" s="15" t="s">
        <v>14</v>
      </c>
      <c r="E297" s="8">
        <v>11.0</v>
      </c>
      <c r="F297" s="1">
        <v>2570.0</v>
      </c>
      <c r="G297" s="4">
        <f t="shared" si="1"/>
        <v>522</v>
      </c>
      <c r="H297" s="4">
        <f t="shared" si="2"/>
        <v>542</v>
      </c>
      <c r="I297" s="5">
        <f t="shared" si="3"/>
        <v>14.57737974</v>
      </c>
      <c r="J297" s="5">
        <f t="shared" si="4"/>
        <v>2.071062271</v>
      </c>
      <c r="K297" s="1" t="s">
        <v>17</v>
      </c>
      <c r="L297" s="6">
        <f t="shared" si="5"/>
        <v>0.619047619</v>
      </c>
    </row>
    <row r="298" ht="15.75" customHeight="1">
      <c r="A298" s="8">
        <v>11.6791443850267</v>
      </c>
      <c r="B298" s="12" t="s">
        <v>21</v>
      </c>
      <c r="C298" s="3">
        <v>40.0</v>
      </c>
      <c r="D298" s="15" t="s">
        <v>14</v>
      </c>
      <c r="E298" s="8">
        <v>12.0</v>
      </c>
      <c r="F298" s="1">
        <v>2605.0</v>
      </c>
      <c r="G298" s="4">
        <f t="shared" si="1"/>
        <v>557</v>
      </c>
      <c r="H298" s="4">
        <f t="shared" si="2"/>
        <v>444.2</v>
      </c>
      <c r="I298" s="5">
        <f t="shared" si="3"/>
        <v>259.5524995</v>
      </c>
      <c r="J298" s="5">
        <f t="shared" si="4"/>
        <v>2.099267399</v>
      </c>
      <c r="K298" s="1" t="s">
        <v>17</v>
      </c>
      <c r="L298" s="6">
        <f t="shared" si="5"/>
        <v>0.6607142857</v>
      </c>
    </row>
    <row r="299" ht="15.75" customHeight="1">
      <c r="A299" s="8">
        <v>11.6947010209042</v>
      </c>
      <c r="B299" s="9" t="s">
        <v>21</v>
      </c>
      <c r="C299" s="3">
        <v>40.0</v>
      </c>
      <c r="D299" s="15" t="s">
        <v>14</v>
      </c>
      <c r="E299" s="8">
        <v>13.0</v>
      </c>
      <c r="F299" s="1">
        <v>2580.0</v>
      </c>
      <c r="G299" s="4">
        <f t="shared" si="1"/>
        <v>532</v>
      </c>
      <c r="H299" s="4">
        <f t="shared" si="2"/>
        <v>338.4</v>
      </c>
      <c r="I299" s="5">
        <f t="shared" si="3"/>
        <v>314.5751103</v>
      </c>
      <c r="J299" s="5">
        <f t="shared" si="4"/>
        <v>2.079120879</v>
      </c>
      <c r="K299" s="1" t="s">
        <v>17</v>
      </c>
      <c r="L299" s="6">
        <f t="shared" si="5"/>
        <v>0.630952381</v>
      </c>
    </row>
    <row r="300" ht="15.75" customHeight="1">
      <c r="A300" s="8">
        <v>11.7102576567817</v>
      </c>
      <c r="B300" s="12" t="s">
        <v>21</v>
      </c>
      <c r="C300" s="3">
        <v>40.0</v>
      </c>
      <c r="D300" s="15" t="s">
        <v>14</v>
      </c>
      <c r="E300" s="8">
        <v>14.0</v>
      </c>
      <c r="F300" s="1">
        <v>2595.0</v>
      </c>
      <c r="G300" s="4">
        <f t="shared" si="1"/>
        <v>547</v>
      </c>
      <c r="H300" s="4">
        <f t="shared" si="2"/>
        <v>239.6</v>
      </c>
      <c r="I300" s="5">
        <f t="shared" si="3"/>
        <v>319.0728757</v>
      </c>
      <c r="J300" s="5">
        <f t="shared" si="4"/>
        <v>2.091208791</v>
      </c>
      <c r="K300" s="1" t="s">
        <v>17</v>
      </c>
      <c r="L300" s="6">
        <f t="shared" si="5"/>
        <v>0.6488095238</v>
      </c>
    </row>
    <row r="301" ht="15.75" customHeight="1">
      <c r="A301" s="8">
        <v>11.7258142926592</v>
      </c>
      <c r="B301" s="9" t="s">
        <v>21</v>
      </c>
      <c r="C301" s="3">
        <v>40.0</v>
      </c>
      <c r="D301" s="15" t="s">
        <v>14</v>
      </c>
      <c r="E301" s="8">
        <v>15.0</v>
      </c>
      <c r="F301" s="1">
        <v>2600.0</v>
      </c>
      <c r="G301" s="4">
        <f t="shared" si="1"/>
        <v>552</v>
      </c>
      <c r="H301" s="4">
        <f t="shared" si="2"/>
        <v>136.2</v>
      </c>
      <c r="I301" s="5">
        <f t="shared" si="3"/>
        <v>261.3116913</v>
      </c>
      <c r="J301" s="5">
        <f t="shared" si="4"/>
        <v>2.095238095</v>
      </c>
      <c r="K301" s="1" t="s">
        <v>17</v>
      </c>
      <c r="L301" s="6">
        <f t="shared" si="5"/>
        <v>0.6547619048</v>
      </c>
    </row>
    <row r="302" ht="15.75" customHeight="1">
      <c r="A302" s="3">
        <v>11.7413709285367</v>
      </c>
      <c r="B302" s="13" t="s">
        <v>22</v>
      </c>
      <c r="C302" s="3">
        <v>45.0</v>
      </c>
      <c r="D302" s="15" t="s">
        <v>14</v>
      </c>
      <c r="E302" s="8">
        <v>1.0</v>
      </c>
      <c r="F302" s="1">
        <v>2015.0</v>
      </c>
      <c r="G302" s="4">
        <f t="shared" si="1"/>
        <v>33</v>
      </c>
      <c r="H302" s="4">
        <f t="shared" si="2"/>
        <v>33</v>
      </c>
      <c r="I302" s="5">
        <f t="shared" si="3"/>
        <v>4.123105626</v>
      </c>
      <c r="J302" s="5">
        <f t="shared" si="4"/>
        <v>1.623809524</v>
      </c>
      <c r="K302" s="1" t="s">
        <v>15</v>
      </c>
      <c r="L302" s="6">
        <f t="shared" si="5"/>
        <v>0.0369047619</v>
      </c>
    </row>
    <row r="303" ht="15.75" customHeight="1">
      <c r="A303" s="3">
        <v>11.7569275644142</v>
      </c>
      <c r="B303" s="13" t="s">
        <v>22</v>
      </c>
      <c r="C303" s="3">
        <v>45.0</v>
      </c>
      <c r="D303" s="15" t="s">
        <v>14</v>
      </c>
      <c r="E303" s="8">
        <v>2.0</v>
      </c>
      <c r="F303" s="1">
        <v>2020.0</v>
      </c>
      <c r="G303" s="4">
        <f t="shared" si="1"/>
        <v>28</v>
      </c>
      <c r="H303" s="4">
        <f t="shared" si="2"/>
        <v>60.8</v>
      </c>
      <c r="I303" s="5">
        <f t="shared" si="3"/>
        <v>91.77145526</v>
      </c>
      <c r="J303" s="5">
        <f t="shared" si="4"/>
        <v>1.627838828</v>
      </c>
      <c r="K303" s="1" t="s">
        <v>15</v>
      </c>
      <c r="L303" s="6">
        <f t="shared" si="5"/>
        <v>0.03095238095</v>
      </c>
    </row>
    <row r="304" ht="15.75" customHeight="1">
      <c r="A304" s="3">
        <v>11.7724842002917</v>
      </c>
      <c r="B304" s="13" t="s">
        <v>22</v>
      </c>
      <c r="C304" s="3">
        <v>45.0</v>
      </c>
      <c r="D304" s="15" t="s">
        <v>14</v>
      </c>
      <c r="E304" s="8">
        <v>3.0</v>
      </c>
      <c r="F304" s="1">
        <v>2010.0</v>
      </c>
      <c r="G304" s="4">
        <f t="shared" si="1"/>
        <v>38</v>
      </c>
      <c r="H304" s="4">
        <f t="shared" si="2"/>
        <v>93.6</v>
      </c>
      <c r="I304" s="5">
        <f t="shared" si="3"/>
        <v>118.9201413</v>
      </c>
      <c r="J304" s="5">
        <f t="shared" si="4"/>
        <v>1.61978022</v>
      </c>
      <c r="K304" s="1" t="s">
        <v>15</v>
      </c>
      <c r="L304" s="6">
        <f t="shared" si="5"/>
        <v>0.04285714286</v>
      </c>
    </row>
    <row r="305" ht="15.75" customHeight="1">
      <c r="A305" s="3">
        <v>11.7880408361692</v>
      </c>
      <c r="B305" s="13" t="s">
        <v>22</v>
      </c>
      <c r="C305" s="3">
        <v>45.0</v>
      </c>
      <c r="D305" s="15" t="s">
        <v>14</v>
      </c>
      <c r="E305" s="8">
        <v>4.0</v>
      </c>
      <c r="F305" s="1">
        <v>2018.0</v>
      </c>
      <c r="G305" s="4">
        <f t="shared" si="1"/>
        <v>30</v>
      </c>
      <c r="H305" s="4">
        <f t="shared" si="2"/>
        <v>122.4</v>
      </c>
      <c r="I305" s="5">
        <f t="shared" si="3"/>
        <v>117.9915251</v>
      </c>
      <c r="J305" s="5">
        <f t="shared" si="4"/>
        <v>1.626227106</v>
      </c>
      <c r="K305" s="1" t="s">
        <v>15</v>
      </c>
      <c r="L305" s="6">
        <f t="shared" si="5"/>
        <v>0.03333333333</v>
      </c>
    </row>
    <row r="306" ht="15.75" customHeight="1">
      <c r="A306" s="3">
        <v>11.8035974720467</v>
      </c>
      <c r="B306" s="13" t="s">
        <v>22</v>
      </c>
      <c r="C306" s="3">
        <v>45.0</v>
      </c>
      <c r="D306" s="15" t="s">
        <v>14</v>
      </c>
      <c r="E306" s="8">
        <v>5.0</v>
      </c>
      <c r="F306" s="1">
        <v>2012.0</v>
      </c>
      <c r="G306" s="4">
        <f t="shared" si="1"/>
        <v>36</v>
      </c>
      <c r="H306" s="4">
        <f t="shared" si="2"/>
        <v>153.8</v>
      </c>
      <c r="I306" s="5">
        <f t="shared" si="3"/>
        <v>98.33005644</v>
      </c>
      <c r="J306" s="5">
        <f t="shared" si="4"/>
        <v>1.621391941</v>
      </c>
      <c r="K306" s="1" t="s">
        <v>15</v>
      </c>
      <c r="L306" s="6">
        <f t="shared" si="5"/>
        <v>0.04047619048</v>
      </c>
    </row>
    <row r="307" ht="15.75" customHeight="1">
      <c r="A307" s="3">
        <v>11.8191541079242</v>
      </c>
      <c r="B307" s="13" t="s">
        <v>22</v>
      </c>
      <c r="C307" s="3">
        <v>45.0</v>
      </c>
      <c r="D307" s="15" t="s">
        <v>14</v>
      </c>
      <c r="E307" s="8">
        <v>6.0</v>
      </c>
      <c r="F307" s="1">
        <v>2220.0</v>
      </c>
      <c r="G307" s="4">
        <f t="shared" si="1"/>
        <v>172</v>
      </c>
      <c r="H307" s="4">
        <f t="shared" si="2"/>
        <v>182</v>
      </c>
      <c r="I307" s="5">
        <f t="shared" si="3"/>
        <v>7.90569415</v>
      </c>
      <c r="J307" s="5">
        <f t="shared" si="4"/>
        <v>1.789010989</v>
      </c>
      <c r="K307" s="1" t="s">
        <v>16</v>
      </c>
      <c r="L307" s="6">
        <f t="shared" si="5"/>
        <v>0.2023809524</v>
      </c>
    </row>
    <row r="308" ht="15.75" customHeight="1">
      <c r="A308" s="3">
        <v>11.8347107438017</v>
      </c>
      <c r="B308" s="13" t="s">
        <v>22</v>
      </c>
      <c r="C308" s="3">
        <v>45.0</v>
      </c>
      <c r="D308" s="15" t="s">
        <v>14</v>
      </c>
      <c r="E308" s="8">
        <v>7.0</v>
      </c>
      <c r="F308" s="1">
        <v>2240.0</v>
      </c>
      <c r="G308" s="4">
        <f t="shared" si="1"/>
        <v>192</v>
      </c>
      <c r="H308" s="4">
        <f t="shared" si="2"/>
        <v>246</v>
      </c>
      <c r="I308" s="5">
        <f t="shared" si="3"/>
        <v>137.6317551</v>
      </c>
      <c r="J308" s="5">
        <f t="shared" si="4"/>
        <v>1.805128205</v>
      </c>
      <c r="K308" s="1" t="s">
        <v>16</v>
      </c>
      <c r="L308" s="6">
        <f t="shared" si="5"/>
        <v>0.2261904762</v>
      </c>
    </row>
    <row r="309" ht="15.75" customHeight="1">
      <c r="A309" s="3">
        <v>11.8502673796792</v>
      </c>
      <c r="B309" s="13" t="s">
        <v>22</v>
      </c>
      <c r="C309" s="3">
        <v>45.0</v>
      </c>
      <c r="D309" s="15" t="s">
        <v>14</v>
      </c>
      <c r="E309" s="8">
        <v>8.0</v>
      </c>
      <c r="F309" s="1">
        <v>2230.0</v>
      </c>
      <c r="G309" s="4">
        <f t="shared" si="1"/>
        <v>182</v>
      </c>
      <c r="H309" s="4">
        <f t="shared" si="2"/>
        <v>310</v>
      </c>
      <c r="I309" s="5">
        <f t="shared" si="3"/>
        <v>175.4494229</v>
      </c>
      <c r="J309" s="5">
        <f t="shared" si="4"/>
        <v>1.797069597</v>
      </c>
      <c r="K309" s="1" t="s">
        <v>16</v>
      </c>
      <c r="L309" s="6">
        <f t="shared" si="5"/>
        <v>0.2142857143</v>
      </c>
    </row>
    <row r="310" ht="15.75" customHeight="1">
      <c r="A310" s="3">
        <v>11.8658240155566</v>
      </c>
      <c r="B310" s="13" t="s">
        <v>22</v>
      </c>
      <c r="C310" s="3">
        <v>45.0</v>
      </c>
      <c r="D310" s="15" t="s">
        <v>14</v>
      </c>
      <c r="E310" s="8">
        <v>9.0</v>
      </c>
      <c r="F310" s="1">
        <v>2235.0</v>
      </c>
      <c r="G310" s="4">
        <f t="shared" si="1"/>
        <v>187</v>
      </c>
      <c r="H310" s="4">
        <f t="shared" si="2"/>
        <v>374</v>
      </c>
      <c r="I310" s="5">
        <f t="shared" si="3"/>
        <v>175.4494229</v>
      </c>
      <c r="J310" s="5">
        <f t="shared" si="4"/>
        <v>1.801098901</v>
      </c>
      <c r="K310" s="1" t="s">
        <v>16</v>
      </c>
      <c r="L310" s="6">
        <f t="shared" si="5"/>
        <v>0.2202380952</v>
      </c>
    </row>
    <row r="311" ht="15.75" customHeight="1">
      <c r="A311" s="3">
        <v>11.8813806514341</v>
      </c>
      <c r="B311" s="13" t="s">
        <v>22</v>
      </c>
      <c r="C311" s="3">
        <v>45.0</v>
      </c>
      <c r="D311" s="15" t="s">
        <v>14</v>
      </c>
      <c r="E311" s="8">
        <v>10.0</v>
      </c>
      <c r="F311" s="1">
        <v>2225.0</v>
      </c>
      <c r="G311" s="4">
        <f t="shared" si="1"/>
        <v>177</v>
      </c>
      <c r="H311" s="4">
        <f t="shared" si="2"/>
        <v>438</v>
      </c>
      <c r="I311" s="5">
        <f t="shared" si="3"/>
        <v>146.0907252</v>
      </c>
      <c r="J311" s="5">
        <f t="shared" si="4"/>
        <v>1.793040293</v>
      </c>
      <c r="K311" s="1" t="s">
        <v>16</v>
      </c>
      <c r="L311" s="6">
        <f t="shared" si="5"/>
        <v>0.2083333333</v>
      </c>
    </row>
    <row r="312" ht="15.75" customHeight="1">
      <c r="A312" s="3">
        <v>11.8969372873116</v>
      </c>
      <c r="B312" s="13" t="s">
        <v>22</v>
      </c>
      <c r="C312" s="3">
        <v>45.0</v>
      </c>
      <c r="D312" s="15" t="s">
        <v>14</v>
      </c>
      <c r="E312" s="8">
        <v>11.0</v>
      </c>
      <c r="F312" s="1">
        <v>2540.0</v>
      </c>
      <c r="G312" s="4">
        <f t="shared" si="1"/>
        <v>492</v>
      </c>
      <c r="H312" s="4">
        <f t="shared" si="2"/>
        <v>506</v>
      </c>
      <c r="I312" s="5">
        <f t="shared" si="3"/>
        <v>9.617692031</v>
      </c>
      <c r="J312" s="5">
        <f t="shared" si="4"/>
        <v>2.046886447</v>
      </c>
      <c r="K312" s="1" t="s">
        <v>17</v>
      </c>
      <c r="L312" s="6">
        <f t="shared" si="5"/>
        <v>0.5833333333</v>
      </c>
    </row>
    <row r="313" ht="15.75" customHeight="1">
      <c r="A313" s="3">
        <v>11.9124939231891</v>
      </c>
      <c r="B313" s="13" t="s">
        <v>22</v>
      </c>
      <c r="C313" s="3">
        <v>45.0</v>
      </c>
      <c r="D313" s="15" t="s">
        <v>14</v>
      </c>
      <c r="E313" s="8">
        <v>12.0</v>
      </c>
      <c r="F313" s="1">
        <v>2560.0</v>
      </c>
      <c r="G313" s="4">
        <f t="shared" si="1"/>
        <v>512</v>
      </c>
      <c r="H313" s="4">
        <f t="shared" si="2"/>
        <v>425.2</v>
      </c>
      <c r="I313" s="5">
        <f t="shared" si="3"/>
        <v>267.2685915</v>
      </c>
      <c r="J313" s="5">
        <f t="shared" si="4"/>
        <v>2.063003663</v>
      </c>
      <c r="K313" s="1" t="s">
        <v>17</v>
      </c>
      <c r="L313" s="6">
        <f t="shared" si="5"/>
        <v>0.6071428571</v>
      </c>
    </row>
    <row r="314" ht="15.75" customHeight="1">
      <c r="A314" s="3">
        <v>11.9280505590666</v>
      </c>
      <c r="B314" s="13" t="s">
        <v>22</v>
      </c>
      <c r="C314" s="3">
        <v>45.0</v>
      </c>
      <c r="D314" s="15" t="s">
        <v>14</v>
      </c>
      <c r="E314" s="8">
        <v>13.0</v>
      </c>
      <c r="F314" s="1">
        <v>2550.0</v>
      </c>
      <c r="G314" s="4">
        <f t="shared" si="1"/>
        <v>502</v>
      </c>
      <c r="H314" s="4">
        <f t="shared" si="2"/>
        <v>339.4</v>
      </c>
      <c r="I314" s="5">
        <f t="shared" si="3"/>
        <v>325.488095</v>
      </c>
      <c r="J314" s="5">
        <f t="shared" si="4"/>
        <v>2.054945055</v>
      </c>
      <c r="K314" s="1" t="s">
        <v>17</v>
      </c>
      <c r="L314" s="6">
        <f t="shared" si="5"/>
        <v>0.5952380952</v>
      </c>
    </row>
    <row r="315" ht="15.75" customHeight="1">
      <c r="A315" s="3">
        <v>11.9436071949441</v>
      </c>
      <c r="B315" s="13" t="s">
        <v>22</v>
      </c>
      <c r="C315" s="3">
        <v>45.0</v>
      </c>
      <c r="D315" s="15" t="s">
        <v>14</v>
      </c>
      <c r="E315" s="8">
        <v>14.0</v>
      </c>
      <c r="F315" s="1">
        <v>2555.0</v>
      </c>
      <c r="G315" s="4">
        <f t="shared" si="1"/>
        <v>507</v>
      </c>
      <c r="H315" s="4">
        <f t="shared" si="2"/>
        <v>254.6</v>
      </c>
      <c r="I315" s="5">
        <f t="shared" si="3"/>
        <v>325.9332754</v>
      </c>
      <c r="J315" s="5">
        <f t="shared" si="4"/>
        <v>2.058974359</v>
      </c>
      <c r="K315" s="1" t="s">
        <v>17</v>
      </c>
      <c r="L315" s="6">
        <f t="shared" si="5"/>
        <v>0.6011904762</v>
      </c>
    </row>
    <row r="316" ht="15.75" customHeight="1">
      <c r="A316" s="3">
        <v>11.9591638308216</v>
      </c>
      <c r="B316" s="13" t="s">
        <v>22</v>
      </c>
      <c r="C316" s="3">
        <v>45.0</v>
      </c>
      <c r="D316" s="15" t="s">
        <v>14</v>
      </c>
      <c r="E316" s="8">
        <v>15.0</v>
      </c>
      <c r="F316" s="1">
        <v>2565.0</v>
      </c>
      <c r="G316" s="4">
        <f t="shared" si="1"/>
        <v>517</v>
      </c>
      <c r="H316" s="4">
        <f t="shared" si="2"/>
        <v>170.4</v>
      </c>
      <c r="I316" s="5">
        <f t="shared" si="3"/>
        <v>268.68997</v>
      </c>
      <c r="J316" s="5">
        <f t="shared" si="4"/>
        <v>2.067032967</v>
      </c>
      <c r="K316" s="1" t="s">
        <v>17</v>
      </c>
      <c r="L316" s="6">
        <f t="shared" si="5"/>
        <v>0.6130952381</v>
      </c>
    </row>
    <row r="317" ht="15.75" customHeight="1">
      <c r="A317" s="3">
        <v>11.9747204666991</v>
      </c>
      <c r="B317" s="1" t="s">
        <v>23</v>
      </c>
      <c r="C317" s="3">
        <v>55.0</v>
      </c>
      <c r="D317" s="15" t="s">
        <v>14</v>
      </c>
      <c r="E317" s="8">
        <v>1.0</v>
      </c>
      <c r="F317" s="1">
        <v>1960.0</v>
      </c>
      <c r="G317" s="4">
        <f t="shared" si="1"/>
        <v>88</v>
      </c>
      <c r="H317" s="4">
        <f t="shared" si="2"/>
        <v>83</v>
      </c>
      <c r="I317" s="5">
        <f t="shared" si="3"/>
        <v>4.123105626</v>
      </c>
      <c r="J317" s="5">
        <f t="shared" si="4"/>
        <v>1.579487179</v>
      </c>
      <c r="K317" s="1" t="s">
        <v>15</v>
      </c>
      <c r="L317" s="6">
        <f t="shared" si="5"/>
        <v>0.1023809524</v>
      </c>
    </row>
    <row r="318" ht="15.75" customHeight="1">
      <c r="A318" s="3">
        <v>11.9902771025766</v>
      </c>
      <c r="B318" s="1" t="s">
        <v>23</v>
      </c>
      <c r="C318" s="3">
        <v>55.0</v>
      </c>
      <c r="D318" s="15" t="s">
        <v>14</v>
      </c>
      <c r="E318" s="8">
        <v>2.0</v>
      </c>
      <c r="F318" s="1">
        <v>1965.0</v>
      </c>
      <c r="G318" s="4">
        <f t="shared" si="1"/>
        <v>83</v>
      </c>
      <c r="H318" s="4">
        <f t="shared" si="2"/>
        <v>83.8</v>
      </c>
      <c r="I318" s="5">
        <f t="shared" si="3"/>
        <v>77.76245881</v>
      </c>
      <c r="J318" s="5">
        <f t="shared" si="4"/>
        <v>1.583516484</v>
      </c>
      <c r="K318" s="1" t="s">
        <v>15</v>
      </c>
      <c r="L318" s="6">
        <f t="shared" si="5"/>
        <v>0.09642857143</v>
      </c>
    </row>
    <row r="319" ht="15.75" customHeight="1">
      <c r="A319" s="3">
        <v>12.0058337384541</v>
      </c>
      <c r="B319" s="1" t="s">
        <v>23</v>
      </c>
      <c r="C319" s="3">
        <v>55.0</v>
      </c>
      <c r="D319" s="15" t="s">
        <v>14</v>
      </c>
      <c r="E319" s="8">
        <v>3.0</v>
      </c>
      <c r="F319" s="1">
        <v>1970.0</v>
      </c>
      <c r="G319" s="4">
        <f t="shared" si="1"/>
        <v>78</v>
      </c>
      <c r="H319" s="4">
        <f t="shared" si="2"/>
        <v>88.6</v>
      </c>
      <c r="I319" s="5">
        <f t="shared" si="3"/>
        <v>99.23205127</v>
      </c>
      <c r="J319" s="5">
        <f t="shared" si="4"/>
        <v>1.587545788</v>
      </c>
      <c r="K319" s="1" t="s">
        <v>15</v>
      </c>
      <c r="L319" s="6">
        <f t="shared" si="5"/>
        <v>0.09047619048</v>
      </c>
    </row>
    <row r="320" ht="15.75" customHeight="1">
      <c r="A320" s="3">
        <v>12.0213903743316</v>
      </c>
      <c r="B320" s="1" t="s">
        <v>23</v>
      </c>
      <c r="C320" s="3">
        <v>55.0</v>
      </c>
      <c r="D320" s="15" t="s">
        <v>14</v>
      </c>
      <c r="E320" s="8">
        <v>4.0</v>
      </c>
      <c r="F320" s="1">
        <v>1962.0</v>
      </c>
      <c r="G320" s="4">
        <f t="shared" si="1"/>
        <v>86</v>
      </c>
      <c r="H320" s="4">
        <f t="shared" si="2"/>
        <v>95.4</v>
      </c>
      <c r="I320" s="5">
        <f t="shared" si="3"/>
        <v>102.5280449</v>
      </c>
      <c r="J320" s="5">
        <f t="shared" si="4"/>
        <v>1.581098901</v>
      </c>
      <c r="K320" s="1" t="s">
        <v>15</v>
      </c>
      <c r="L320" s="6">
        <f t="shared" si="5"/>
        <v>0.1</v>
      </c>
    </row>
    <row r="321" ht="15.75" customHeight="1">
      <c r="A321" s="3">
        <v>12.0369470102091</v>
      </c>
      <c r="B321" s="1" t="s">
        <v>23</v>
      </c>
      <c r="C321" s="3">
        <v>55.0</v>
      </c>
      <c r="D321" s="15" t="s">
        <v>14</v>
      </c>
      <c r="E321" s="8">
        <v>5.0</v>
      </c>
      <c r="F321" s="1">
        <v>1968.0</v>
      </c>
      <c r="G321" s="4">
        <f t="shared" si="1"/>
        <v>80</v>
      </c>
      <c r="H321" s="4">
        <f t="shared" si="2"/>
        <v>98.6</v>
      </c>
      <c r="I321" s="5">
        <f t="shared" si="3"/>
        <v>82.28487103</v>
      </c>
      <c r="J321" s="5">
        <f t="shared" si="4"/>
        <v>1.585934066</v>
      </c>
      <c r="K321" s="1" t="s">
        <v>15</v>
      </c>
      <c r="L321" s="6">
        <f t="shared" si="5"/>
        <v>0.09285714286</v>
      </c>
    </row>
    <row r="322" ht="15.75" customHeight="1">
      <c r="A322" s="3">
        <v>12.0525036460865</v>
      </c>
      <c r="B322" s="1" t="s">
        <v>23</v>
      </c>
      <c r="C322" s="3">
        <v>55.0</v>
      </c>
      <c r="D322" s="15" t="s">
        <v>14</v>
      </c>
      <c r="E322" s="8">
        <v>6.0</v>
      </c>
      <c r="F322" s="1">
        <v>2140.0</v>
      </c>
      <c r="G322" s="4">
        <f t="shared" si="1"/>
        <v>92</v>
      </c>
      <c r="H322" s="4">
        <f t="shared" si="2"/>
        <v>103.4</v>
      </c>
      <c r="I322" s="5">
        <f t="shared" si="3"/>
        <v>7.402702209</v>
      </c>
      <c r="J322" s="5">
        <f t="shared" si="4"/>
        <v>1.724542125</v>
      </c>
      <c r="K322" s="1" t="s">
        <v>16</v>
      </c>
      <c r="L322" s="6">
        <f t="shared" si="5"/>
        <v>0.1071428571</v>
      </c>
    </row>
    <row r="323" ht="15.75" customHeight="1">
      <c r="A323" s="3">
        <v>12.068060281964</v>
      </c>
      <c r="B323" s="1" t="s">
        <v>23</v>
      </c>
      <c r="C323" s="3">
        <v>55.0</v>
      </c>
      <c r="D323" s="15" t="s">
        <v>14</v>
      </c>
      <c r="E323" s="8">
        <v>7.0</v>
      </c>
      <c r="F323" s="1">
        <v>2155.0</v>
      </c>
      <c r="G323" s="4">
        <f t="shared" si="1"/>
        <v>107</v>
      </c>
      <c r="H323" s="4">
        <f t="shared" si="2"/>
        <v>163.4</v>
      </c>
      <c r="I323" s="5">
        <f t="shared" si="3"/>
        <v>127.8467833</v>
      </c>
      <c r="J323" s="5">
        <f t="shared" si="4"/>
        <v>1.736630037</v>
      </c>
      <c r="K323" s="1" t="s">
        <v>16</v>
      </c>
      <c r="L323" s="6">
        <f t="shared" si="5"/>
        <v>0.125</v>
      </c>
    </row>
    <row r="324" ht="15.75" customHeight="1">
      <c r="A324" s="3">
        <v>12.0836169178415</v>
      </c>
      <c r="B324" s="1" t="s">
        <v>23</v>
      </c>
      <c r="C324" s="3">
        <v>55.0</v>
      </c>
      <c r="D324" s="15" t="s">
        <v>14</v>
      </c>
      <c r="E324" s="8">
        <v>8.0</v>
      </c>
      <c r="F324" s="1">
        <v>2160.0</v>
      </c>
      <c r="G324" s="4">
        <f t="shared" si="1"/>
        <v>112</v>
      </c>
      <c r="H324" s="4">
        <f t="shared" si="2"/>
        <v>223.4</v>
      </c>
      <c r="I324" s="5">
        <f t="shared" si="3"/>
        <v>160.8875384</v>
      </c>
      <c r="J324" s="5">
        <f t="shared" si="4"/>
        <v>1.740659341</v>
      </c>
      <c r="K324" s="1" t="s">
        <v>16</v>
      </c>
      <c r="L324" s="6">
        <f t="shared" si="5"/>
        <v>0.130952381</v>
      </c>
    </row>
    <row r="325" ht="15.75" customHeight="1">
      <c r="A325" s="3">
        <v>12.099173553719</v>
      </c>
      <c r="B325" s="1" t="s">
        <v>23</v>
      </c>
      <c r="C325" s="3">
        <v>55.0</v>
      </c>
      <c r="D325" s="15" t="s">
        <v>14</v>
      </c>
      <c r="E325" s="8">
        <v>9.0</v>
      </c>
      <c r="F325" s="1">
        <v>2150.0</v>
      </c>
      <c r="G325" s="4">
        <f t="shared" si="1"/>
        <v>102</v>
      </c>
      <c r="H325" s="4">
        <f t="shared" si="2"/>
        <v>280.4</v>
      </c>
      <c r="I325" s="5">
        <f t="shared" si="3"/>
        <v>162.0348728</v>
      </c>
      <c r="J325" s="5">
        <f t="shared" si="4"/>
        <v>1.732600733</v>
      </c>
      <c r="K325" s="1" t="s">
        <v>16</v>
      </c>
      <c r="L325" s="6">
        <f t="shared" si="5"/>
        <v>0.119047619</v>
      </c>
    </row>
    <row r="326" ht="15.75" customHeight="1">
      <c r="A326" s="3">
        <v>12.1147301895965</v>
      </c>
      <c r="B326" s="1" t="s">
        <v>23</v>
      </c>
      <c r="C326" s="3">
        <v>55.0</v>
      </c>
      <c r="D326" s="15" t="s">
        <v>14</v>
      </c>
      <c r="E326" s="8">
        <v>10.0</v>
      </c>
      <c r="F326" s="1">
        <v>2152.0</v>
      </c>
      <c r="G326" s="4">
        <f t="shared" si="1"/>
        <v>104</v>
      </c>
      <c r="H326" s="4">
        <f t="shared" si="2"/>
        <v>340.4</v>
      </c>
      <c r="I326" s="5">
        <f t="shared" si="3"/>
        <v>132.2698</v>
      </c>
      <c r="J326" s="5">
        <f t="shared" si="4"/>
        <v>1.734212454</v>
      </c>
      <c r="K326" s="1" t="s">
        <v>16</v>
      </c>
      <c r="L326" s="6">
        <f t="shared" si="5"/>
        <v>0.1214285714</v>
      </c>
    </row>
    <row r="327" ht="15.75" customHeight="1">
      <c r="A327" s="3">
        <v>12.130286825474</v>
      </c>
      <c r="B327" s="1" t="s">
        <v>23</v>
      </c>
      <c r="C327" s="3">
        <v>55.0</v>
      </c>
      <c r="D327" s="15" t="s">
        <v>14</v>
      </c>
      <c r="E327" s="8">
        <v>11.0</v>
      </c>
      <c r="F327" s="1">
        <v>2440.0</v>
      </c>
      <c r="G327" s="4">
        <f t="shared" si="1"/>
        <v>392</v>
      </c>
      <c r="H327" s="4">
        <f t="shared" si="2"/>
        <v>400.4</v>
      </c>
      <c r="I327" s="5">
        <f t="shared" si="3"/>
        <v>5.941380311</v>
      </c>
      <c r="J327" s="5">
        <f t="shared" si="4"/>
        <v>1.966300366</v>
      </c>
      <c r="K327" s="1" t="s">
        <v>17</v>
      </c>
      <c r="L327" s="6">
        <f t="shared" si="5"/>
        <v>0.4642857143</v>
      </c>
    </row>
    <row r="328" ht="15.75" customHeight="1">
      <c r="A328" s="3">
        <v>12.1458434613515</v>
      </c>
      <c r="B328" s="1" t="s">
        <v>23</v>
      </c>
      <c r="C328" s="3">
        <v>55.0</v>
      </c>
      <c r="D328" s="15" t="s">
        <v>14</v>
      </c>
      <c r="E328" s="8">
        <v>12.0</v>
      </c>
      <c r="F328" s="1">
        <v>2455.0</v>
      </c>
      <c r="G328" s="4">
        <f t="shared" si="1"/>
        <v>407</v>
      </c>
      <c r="H328" s="4">
        <f t="shared" si="2"/>
        <v>330.6</v>
      </c>
      <c r="I328" s="5">
        <f t="shared" si="3"/>
        <v>199.2669064</v>
      </c>
      <c r="J328" s="5">
        <f t="shared" si="4"/>
        <v>1.978388278</v>
      </c>
      <c r="K328" s="1" t="s">
        <v>17</v>
      </c>
      <c r="L328" s="6">
        <f t="shared" si="5"/>
        <v>0.4821428571</v>
      </c>
    </row>
    <row r="329" ht="15.75" customHeight="1">
      <c r="A329" s="3">
        <v>12.161400097229</v>
      </c>
      <c r="B329" s="1" t="s">
        <v>23</v>
      </c>
      <c r="C329" s="3">
        <v>55.0</v>
      </c>
      <c r="D329" s="15" t="s">
        <v>14</v>
      </c>
      <c r="E329" s="8">
        <v>13.0</v>
      </c>
      <c r="F329" s="1">
        <v>2445.0</v>
      </c>
      <c r="G329" s="4">
        <f t="shared" si="1"/>
        <v>397</v>
      </c>
      <c r="H329" s="4">
        <f t="shared" si="2"/>
        <v>256.8</v>
      </c>
      <c r="I329" s="5">
        <f t="shared" si="3"/>
        <v>241.8394095</v>
      </c>
      <c r="J329" s="5">
        <f t="shared" si="4"/>
        <v>1.97032967</v>
      </c>
      <c r="K329" s="1" t="s">
        <v>17</v>
      </c>
      <c r="L329" s="6">
        <f t="shared" si="5"/>
        <v>0.4702380952</v>
      </c>
    </row>
    <row r="330" ht="15.75" customHeight="1">
      <c r="A330" s="3">
        <v>12.1769567331065</v>
      </c>
      <c r="B330" s="1" t="s">
        <v>23</v>
      </c>
      <c r="C330" s="3">
        <v>55.0</v>
      </c>
      <c r="D330" s="15" t="s">
        <v>14</v>
      </c>
      <c r="E330" s="8">
        <v>14.0</v>
      </c>
      <c r="F330" s="1">
        <v>2450.0</v>
      </c>
      <c r="G330" s="4">
        <f t="shared" si="1"/>
        <v>402</v>
      </c>
      <c r="H330" s="4">
        <f t="shared" si="2"/>
        <v>187</v>
      </c>
      <c r="I330" s="5">
        <f t="shared" si="3"/>
        <v>244.3108675</v>
      </c>
      <c r="J330" s="5">
        <f t="shared" si="4"/>
        <v>1.974358974</v>
      </c>
      <c r="K330" s="1" t="s">
        <v>17</v>
      </c>
      <c r="L330" s="6">
        <f t="shared" si="5"/>
        <v>0.4761904762</v>
      </c>
    </row>
    <row r="331" ht="15.75" customHeight="1">
      <c r="A331" s="3">
        <v>12.192513368984</v>
      </c>
      <c r="B331" s="1" t="s">
        <v>23</v>
      </c>
      <c r="C331" s="3">
        <v>55.0</v>
      </c>
      <c r="D331" s="15" t="s">
        <v>14</v>
      </c>
      <c r="E331" s="8">
        <v>15.0</v>
      </c>
      <c r="F331" s="1">
        <v>2452.0</v>
      </c>
      <c r="G331" s="4">
        <f t="shared" si="1"/>
        <v>404</v>
      </c>
      <c r="H331" s="4">
        <f t="shared" si="2"/>
        <v>114.6</v>
      </c>
      <c r="I331" s="5">
        <f t="shared" si="3"/>
        <v>199.6046092</v>
      </c>
      <c r="J331" s="5">
        <f t="shared" si="4"/>
        <v>1.975970696</v>
      </c>
      <c r="K331" s="1" t="s">
        <v>17</v>
      </c>
      <c r="L331" s="6">
        <f t="shared" si="5"/>
        <v>0.4785714286</v>
      </c>
    </row>
    <row r="332" ht="15.75" customHeight="1">
      <c r="A332" s="3">
        <v>12.2080700048615</v>
      </c>
      <c r="B332" s="13" t="s">
        <v>24</v>
      </c>
      <c r="C332" s="3">
        <v>53.0</v>
      </c>
      <c r="D332" s="15" t="s">
        <v>20</v>
      </c>
      <c r="E332" s="8">
        <v>1.0</v>
      </c>
      <c r="F332" s="1">
        <v>2005.0</v>
      </c>
      <c r="G332" s="4">
        <f t="shared" si="1"/>
        <v>43</v>
      </c>
      <c r="H332" s="4">
        <f t="shared" si="2"/>
        <v>43</v>
      </c>
      <c r="I332" s="5">
        <f t="shared" si="3"/>
        <v>4.123105626</v>
      </c>
      <c r="J332" s="5">
        <f t="shared" si="4"/>
        <v>1.615750916</v>
      </c>
      <c r="K332" s="1" t="s">
        <v>15</v>
      </c>
      <c r="L332" s="6">
        <f t="shared" si="5"/>
        <v>0.04880952381</v>
      </c>
    </row>
    <row r="333" ht="15.75" customHeight="1">
      <c r="A333" s="3">
        <v>12.2236266407389</v>
      </c>
      <c r="B333" s="13" t="s">
        <v>24</v>
      </c>
      <c r="C333" s="3">
        <v>53.0</v>
      </c>
      <c r="D333" s="15" t="s">
        <v>20</v>
      </c>
      <c r="E333" s="8">
        <v>2.0</v>
      </c>
      <c r="F333" s="1">
        <v>2010.0</v>
      </c>
      <c r="G333" s="4">
        <f t="shared" si="1"/>
        <v>38</v>
      </c>
      <c r="H333" s="4">
        <f t="shared" si="2"/>
        <v>74.8</v>
      </c>
      <c r="I333" s="5">
        <f t="shared" si="3"/>
        <v>109.6448813</v>
      </c>
      <c r="J333" s="5">
        <f t="shared" si="4"/>
        <v>1.61978022</v>
      </c>
      <c r="K333" s="1" t="s">
        <v>15</v>
      </c>
      <c r="L333" s="6">
        <f t="shared" si="5"/>
        <v>0.04285714286</v>
      </c>
    </row>
    <row r="334" ht="15.75" customHeight="1">
      <c r="A334" s="3">
        <v>12.2391832766164</v>
      </c>
      <c r="B334" s="13" t="s">
        <v>24</v>
      </c>
      <c r="C334" s="3">
        <v>53.0</v>
      </c>
      <c r="D334" s="15" t="s">
        <v>20</v>
      </c>
      <c r="E334" s="8">
        <v>3.0</v>
      </c>
      <c r="F334" s="1">
        <v>2000.0</v>
      </c>
      <c r="G334" s="4">
        <f t="shared" si="1"/>
        <v>48</v>
      </c>
      <c r="H334" s="4">
        <f t="shared" si="2"/>
        <v>111.6</v>
      </c>
      <c r="I334" s="5">
        <f t="shared" si="3"/>
        <v>140.7906247</v>
      </c>
      <c r="J334" s="5">
        <f t="shared" si="4"/>
        <v>1.611721612</v>
      </c>
      <c r="K334" s="1" t="s">
        <v>15</v>
      </c>
      <c r="L334" s="6">
        <f t="shared" si="5"/>
        <v>0.05476190476</v>
      </c>
    </row>
    <row r="335" ht="15.75" customHeight="1">
      <c r="A335" s="3">
        <v>12.2547399124939</v>
      </c>
      <c r="B335" s="13" t="s">
        <v>24</v>
      </c>
      <c r="C335" s="3">
        <v>53.0</v>
      </c>
      <c r="D335" s="15" t="s">
        <v>20</v>
      </c>
      <c r="E335" s="8">
        <v>4.0</v>
      </c>
      <c r="F335" s="1">
        <v>2008.0</v>
      </c>
      <c r="G335" s="4">
        <f t="shared" si="1"/>
        <v>40</v>
      </c>
      <c r="H335" s="4">
        <f t="shared" si="2"/>
        <v>144.4</v>
      </c>
      <c r="I335" s="5">
        <f t="shared" si="3"/>
        <v>139.8642199</v>
      </c>
      <c r="J335" s="5">
        <f t="shared" si="4"/>
        <v>1.618168498</v>
      </c>
      <c r="K335" s="1" t="s">
        <v>15</v>
      </c>
      <c r="L335" s="6">
        <f t="shared" si="5"/>
        <v>0.04523809524</v>
      </c>
    </row>
    <row r="336" ht="15.75" customHeight="1">
      <c r="A336" s="3">
        <v>12.2702965483714</v>
      </c>
      <c r="B336" s="13" t="s">
        <v>24</v>
      </c>
      <c r="C336" s="3">
        <v>53.0</v>
      </c>
      <c r="D336" s="15" t="s">
        <v>20</v>
      </c>
      <c r="E336" s="8">
        <v>5.0</v>
      </c>
      <c r="F336" s="1">
        <v>2002.0</v>
      </c>
      <c r="G336" s="4">
        <f t="shared" si="1"/>
        <v>46</v>
      </c>
      <c r="H336" s="4">
        <f t="shared" si="2"/>
        <v>177.8</v>
      </c>
      <c r="I336" s="5">
        <f t="shared" si="3"/>
        <v>115.0599844</v>
      </c>
      <c r="J336" s="5">
        <f t="shared" si="4"/>
        <v>1.613333333</v>
      </c>
      <c r="K336" s="1" t="s">
        <v>15</v>
      </c>
      <c r="L336" s="6">
        <f t="shared" si="5"/>
        <v>0.05238095238</v>
      </c>
    </row>
    <row r="337" ht="15.75" customHeight="1">
      <c r="A337" s="3">
        <v>12.2858531842489</v>
      </c>
      <c r="B337" s="13" t="s">
        <v>24</v>
      </c>
      <c r="C337" s="3">
        <v>53.0</v>
      </c>
      <c r="D337" s="15" t="s">
        <v>20</v>
      </c>
      <c r="E337" s="8">
        <v>6.0</v>
      </c>
      <c r="F337" s="1">
        <v>2250.0</v>
      </c>
      <c r="G337" s="4">
        <f t="shared" si="1"/>
        <v>202</v>
      </c>
      <c r="H337" s="4">
        <f t="shared" si="2"/>
        <v>212</v>
      </c>
      <c r="I337" s="5">
        <f t="shared" si="3"/>
        <v>7.90569415</v>
      </c>
      <c r="J337" s="5">
        <f t="shared" si="4"/>
        <v>1.813186813</v>
      </c>
      <c r="K337" s="1" t="s">
        <v>16</v>
      </c>
      <c r="L337" s="6">
        <f t="shared" si="5"/>
        <v>0.2380952381</v>
      </c>
    </row>
    <row r="338" ht="15.75" customHeight="1">
      <c r="A338" s="3">
        <v>12.3014098201264</v>
      </c>
      <c r="B338" s="13" t="s">
        <v>24</v>
      </c>
      <c r="C338" s="3">
        <v>53.0</v>
      </c>
      <c r="D338" s="15" t="s">
        <v>20</v>
      </c>
      <c r="E338" s="8">
        <v>7.0</v>
      </c>
      <c r="F338" s="1">
        <v>2270.0</v>
      </c>
      <c r="G338" s="4">
        <f t="shared" si="1"/>
        <v>222</v>
      </c>
      <c r="H338" s="4">
        <f t="shared" si="2"/>
        <v>282</v>
      </c>
      <c r="I338" s="5">
        <f t="shared" si="3"/>
        <v>151.0380747</v>
      </c>
      <c r="J338" s="5">
        <f t="shared" si="4"/>
        <v>1.829304029</v>
      </c>
      <c r="K338" s="1" t="s">
        <v>16</v>
      </c>
      <c r="L338" s="6">
        <f t="shared" si="5"/>
        <v>0.2619047619</v>
      </c>
    </row>
    <row r="339" ht="15.75" customHeight="1">
      <c r="A339" s="3">
        <v>12.3169664560039</v>
      </c>
      <c r="B339" s="13" t="s">
        <v>24</v>
      </c>
      <c r="C339" s="3">
        <v>53.0</v>
      </c>
      <c r="D339" s="15" t="s">
        <v>20</v>
      </c>
      <c r="E339" s="8">
        <v>8.0</v>
      </c>
      <c r="F339" s="1">
        <v>2260.0</v>
      </c>
      <c r="G339" s="4">
        <f t="shared" si="1"/>
        <v>212</v>
      </c>
      <c r="H339" s="4">
        <f t="shared" si="2"/>
        <v>352</v>
      </c>
      <c r="I339" s="5">
        <f t="shared" si="3"/>
        <v>191.8658385</v>
      </c>
      <c r="J339" s="5">
        <f t="shared" si="4"/>
        <v>1.821245421</v>
      </c>
      <c r="K339" s="1" t="s">
        <v>16</v>
      </c>
      <c r="L339" s="6">
        <f t="shared" si="5"/>
        <v>0.25</v>
      </c>
    </row>
    <row r="340" ht="15.75" customHeight="1">
      <c r="A340" s="3">
        <v>12.3325230918814</v>
      </c>
      <c r="B340" s="13" t="s">
        <v>24</v>
      </c>
      <c r="C340" s="3">
        <v>53.0</v>
      </c>
      <c r="D340" s="15" t="s">
        <v>20</v>
      </c>
      <c r="E340" s="8">
        <v>9.0</v>
      </c>
      <c r="F340" s="1">
        <v>2255.0</v>
      </c>
      <c r="G340" s="4">
        <f t="shared" si="1"/>
        <v>207</v>
      </c>
      <c r="H340" s="4">
        <f t="shared" si="2"/>
        <v>422</v>
      </c>
      <c r="I340" s="5">
        <f t="shared" si="3"/>
        <v>191.8658385</v>
      </c>
      <c r="J340" s="5">
        <f t="shared" si="4"/>
        <v>1.817216117</v>
      </c>
      <c r="K340" s="1" t="s">
        <v>16</v>
      </c>
      <c r="L340" s="6">
        <f t="shared" si="5"/>
        <v>0.244047619</v>
      </c>
    </row>
    <row r="341" ht="15.75" customHeight="1">
      <c r="A341" s="3">
        <v>12.3480797277589</v>
      </c>
      <c r="B341" s="13" t="s">
        <v>24</v>
      </c>
      <c r="C341" s="3">
        <v>53.0</v>
      </c>
      <c r="D341" s="15" t="s">
        <v>20</v>
      </c>
      <c r="E341" s="8">
        <v>10.0</v>
      </c>
      <c r="F341" s="1">
        <v>2265.0</v>
      </c>
      <c r="G341" s="4">
        <f t="shared" si="1"/>
        <v>217</v>
      </c>
      <c r="H341" s="4">
        <f t="shared" si="2"/>
        <v>497</v>
      </c>
      <c r="I341" s="5">
        <f t="shared" si="3"/>
        <v>156.9235483</v>
      </c>
      <c r="J341" s="5">
        <f t="shared" si="4"/>
        <v>1.825274725</v>
      </c>
      <c r="K341" s="1" t="s">
        <v>16</v>
      </c>
      <c r="L341" s="6">
        <f t="shared" si="5"/>
        <v>0.255952381</v>
      </c>
    </row>
    <row r="342" ht="15.75" customHeight="1">
      <c r="A342" s="3">
        <v>12.3636363636364</v>
      </c>
      <c r="B342" s="13" t="s">
        <v>24</v>
      </c>
      <c r="C342" s="3">
        <v>53.0</v>
      </c>
      <c r="D342" s="15" t="s">
        <v>20</v>
      </c>
      <c r="E342" s="8">
        <v>11.0</v>
      </c>
      <c r="F342" s="1">
        <v>2600.0</v>
      </c>
      <c r="G342" s="4">
        <f t="shared" si="1"/>
        <v>552</v>
      </c>
      <c r="H342" s="4">
        <f t="shared" si="2"/>
        <v>569</v>
      </c>
      <c r="I342" s="5">
        <f t="shared" si="3"/>
        <v>12.04159458</v>
      </c>
      <c r="J342" s="5">
        <f t="shared" si="4"/>
        <v>2.095238095</v>
      </c>
      <c r="K342" s="1" t="s">
        <v>17</v>
      </c>
      <c r="L342" s="6">
        <f t="shared" si="5"/>
        <v>0.6547619048</v>
      </c>
    </row>
    <row r="343" ht="15.75" customHeight="1">
      <c r="A343" s="3">
        <v>12.3791929995139</v>
      </c>
      <c r="B343" s="13" t="s">
        <v>24</v>
      </c>
      <c r="C343" s="3">
        <v>53.0</v>
      </c>
      <c r="D343" s="15" t="s">
        <v>20</v>
      </c>
      <c r="E343" s="8">
        <v>12.0</v>
      </c>
      <c r="F343" s="1">
        <v>2620.0</v>
      </c>
      <c r="G343" s="4">
        <f t="shared" si="1"/>
        <v>572</v>
      </c>
      <c r="H343" s="4">
        <f t="shared" si="2"/>
        <v>472.2</v>
      </c>
      <c r="I343" s="5">
        <f t="shared" si="3"/>
        <v>286.8710512</v>
      </c>
      <c r="J343" s="5">
        <f t="shared" si="4"/>
        <v>2.111355311</v>
      </c>
      <c r="K343" s="1" t="s">
        <v>17</v>
      </c>
      <c r="L343" s="6">
        <f t="shared" si="5"/>
        <v>0.6785714286</v>
      </c>
    </row>
    <row r="344" ht="15.75" customHeight="1">
      <c r="A344" s="3">
        <v>12.3947496353914</v>
      </c>
      <c r="B344" s="13" t="s">
        <v>24</v>
      </c>
      <c r="C344" s="3">
        <v>53.0</v>
      </c>
      <c r="D344" s="15" t="s">
        <v>20</v>
      </c>
      <c r="E344" s="8">
        <v>13.0</v>
      </c>
      <c r="F344" s="1">
        <v>2610.0</v>
      </c>
      <c r="G344" s="4">
        <f t="shared" si="1"/>
        <v>562</v>
      </c>
      <c r="H344" s="4">
        <f t="shared" si="2"/>
        <v>372.4</v>
      </c>
      <c r="I344" s="5">
        <f t="shared" si="3"/>
        <v>352.9057948</v>
      </c>
      <c r="J344" s="5">
        <f t="shared" si="4"/>
        <v>2.103296703</v>
      </c>
      <c r="K344" s="1" t="s">
        <v>17</v>
      </c>
      <c r="L344" s="6">
        <f t="shared" si="5"/>
        <v>0.6666666667</v>
      </c>
    </row>
    <row r="345" ht="15.75" customHeight="1">
      <c r="A345" s="3">
        <v>12.4103062712688</v>
      </c>
      <c r="B345" s="13" t="s">
        <v>24</v>
      </c>
      <c r="C345" s="3">
        <v>53.0</v>
      </c>
      <c r="D345" s="15" t="s">
        <v>20</v>
      </c>
      <c r="E345" s="8">
        <v>14.0</v>
      </c>
      <c r="F345" s="1">
        <v>2630.0</v>
      </c>
      <c r="G345" s="4">
        <f t="shared" si="1"/>
        <v>582</v>
      </c>
      <c r="H345" s="4">
        <f t="shared" si="2"/>
        <v>272.6</v>
      </c>
      <c r="I345" s="5">
        <f t="shared" si="3"/>
        <v>354.672384</v>
      </c>
      <c r="J345" s="5">
        <f t="shared" si="4"/>
        <v>2.119413919</v>
      </c>
      <c r="K345" s="1" t="s">
        <v>17</v>
      </c>
      <c r="L345" s="6">
        <f t="shared" si="5"/>
        <v>0.6904761905</v>
      </c>
    </row>
    <row r="346" ht="15.75" customHeight="1">
      <c r="A346" s="3">
        <v>12.4258629071463</v>
      </c>
      <c r="B346" s="13" t="s">
        <v>24</v>
      </c>
      <c r="C346" s="3">
        <v>53.0</v>
      </c>
      <c r="D346" s="15" t="s">
        <v>20</v>
      </c>
      <c r="E346" s="8">
        <v>15.0</v>
      </c>
      <c r="F346" s="1">
        <v>2625.0</v>
      </c>
      <c r="G346" s="4">
        <f t="shared" si="1"/>
        <v>577</v>
      </c>
      <c r="H346" s="4">
        <f t="shared" si="2"/>
        <v>170.2</v>
      </c>
      <c r="I346" s="5">
        <f t="shared" si="3"/>
        <v>288.6993246</v>
      </c>
      <c r="J346" s="5">
        <f t="shared" si="4"/>
        <v>2.115384615</v>
      </c>
      <c r="K346" s="1" t="s">
        <v>17</v>
      </c>
      <c r="L346" s="6">
        <f t="shared" si="5"/>
        <v>0.6845238095</v>
      </c>
    </row>
    <row r="347" ht="15.75" customHeight="1">
      <c r="A347" s="3">
        <v>12.4414195430238</v>
      </c>
      <c r="B347" s="13" t="s">
        <v>25</v>
      </c>
      <c r="C347" s="3">
        <v>60.0</v>
      </c>
      <c r="D347" s="15" t="s">
        <v>14</v>
      </c>
      <c r="E347" s="8">
        <v>1.0</v>
      </c>
      <c r="F347" s="1">
        <v>1980.0</v>
      </c>
      <c r="G347" s="4">
        <f t="shared" si="1"/>
        <v>68</v>
      </c>
      <c r="H347" s="4">
        <f t="shared" si="2"/>
        <v>66.8</v>
      </c>
      <c r="I347" s="5">
        <f t="shared" si="3"/>
        <v>5.263078947</v>
      </c>
      <c r="J347" s="5">
        <f t="shared" si="4"/>
        <v>1.595604396</v>
      </c>
      <c r="K347" s="1" t="s">
        <v>15</v>
      </c>
      <c r="L347" s="6">
        <f t="shared" si="5"/>
        <v>0.07857142857</v>
      </c>
    </row>
    <row r="348" ht="15.75" customHeight="1">
      <c r="A348" s="3">
        <v>12.4569761789013</v>
      </c>
      <c r="B348" s="13" t="s">
        <v>25</v>
      </c>
      <c r="C348" s="3">
        <v>60.0</v>
      </c>
      <c r="D348" s="15" t="s">
        <v>14</v>
      </c>
      <c r="E348" s="8">
        <v>2.0</v>
      </c>
      <c r="F348" s="1">
        <v>1975.0</v>
      </c>
      <c r="G348" s="4">
        <f t="shared" si="1"/>
        <v>73</v>
      </c>
      <c r="H348" s="4">
        <f t="shared" si="2"/>
        <v>73.6</v>
      </c>
      <c r="I348" s="5">
        <f t="shared" si="3"/>
        <v>75.53608409</v>
      </c>
      <c r="J348" s="5">
        <f t="shared" si="4"/>
        <v>1.591575092</v>
      </c>
      <c r="K348" s="1" t="s">
        <v>15</v>
      </c>
      <c r="L348" s="6">
        <f t="shared" si="5"/>
        <v>0.08452380952</v>
      </c>
    </row>
    <row r="349" ht="15.75" customHeight="1">
      <c r="A349" s="3">
        <v>12.4725328147788</v>
      </c>
      <c r="B349" s="13" t="s">
        <v>25</v>
      </c>
      <c r="C349" s="3">
        <v>60.0</v>
      </c>
      <c r="D349" s="15" t="s">
        <v>14</v>
      </c>
      <c r="E349" s="8">
        <v>3.0</v>
      </c>
      <c r="F349" s="1">
        <v>1985.0</v>
      </c>
      <c r="G349" s="4">
        <f t="shared" si="1"/>
        <v>63</v>
      </c>
      <c r="H349" s="4">
        <f t="shared" si="2"/>
        <v>84.4</v>
      </c>
      <c r="I349" s="5">
        <f t="shared" si="3"/>
        <v>98.41595399</v>
      </c>
      <c r="J349" s="5">
        <f t="shared" si="4"/>
        <v>1.5996337</v>
      </c>
      <c r="K349" s="1" t="s">
        <v>15</v>
      </c>
      <c r="L349" s="6">
        <f t="shared" si="5"/>
        <v>0.07261904762</v>
      </c>
    </row>
    <row r="350" ht="15.75" customHeight="1">
      <c r="A350" s="3">
        <v>12.4880894506563</v>
      </c>
      <c r="B350" s="13" t="s">
        <v>25</v>
      </c>
      <c r="C350" s="3">
        <v>60.0</v>
      </c>
      <c r="D350" s="15" t="s">
        <v>14</v>
      </c>
      <c r="E350" s="8">
        <v>4.0</v>
      </c>
      <c r="F350" s="1">
        <v>1978.0</v>
      </c>
      <c r="G350" s="4">
        <f t="shared" si="1"/>
        <v>70</v>
      </c>
      <c r="H350" s="4">
        <f t="shared" si="2"/>
        <v>94.2</v>
      </c>
      <c r="I350" s="5">
        <f t="shared" si="3"/>
        <v>98.32700545</v>
      </c>
      <c r="J350" s="5">
        <f t="shared" si="4"/>
        <v>1.593992674</v>
      </c>
      <c r="K350" s="1" t="s">
        <v>15</v>
      </c>
      <c r="L350" s="6">
        <f t="shared" si="5"/>
        <v>0.08095238095</v>
      </c>
    </row>
    <row r="351" ht="15.75" customHeight="1">
      <c r="A351" s="3">
        <v>12.5036460865338</v>
      </c>
      <c r="B351" s="13" t="s">
        <v>25</v>
      </c>
      <c r="C351" s="3">
        <v>60.0</v>
      </c>
      <c r="D351" s="15" t="s">
        <v>14</v>
      </c>
      <c r="E351" s="8">
        <v>5.0</v>
      </c>
      <c r="F351" s="1">
        <v>1988.0</v>
      </c>
      <c r="G351" s="4">
        <f t="shared" si="1"/>
        <v>60</v>
      </c>
      <c r="H351" s="4">
        <f t="shared" si="2"/>
        <v>106.6</v>
      </c>
      <c r="I351" s="5">
        <f t="shared" si="3"/>
        <v>80.60272948</v>
      </c>
      <c r="J351" s="5">
        <f t="shared" si="4"/>
        <v>1.602051282</v>
      </c>
      <c r="K351" s="1" t="s">
        <v>15</v>
      </c>
      <c r="L351" s="6">
        <f t="shared" si="5"/>
        <v>0.06904761905</v>
      </c>
    </row>
    <row r="352" ht="15.75" customHeight="1">
      <c r="A352" s="3">
        <v>12.5192027224113</v>
      </c>
      <c r="B352" s="13" t="s">
        <v>25</v>
      </c>
      <c r="C352" s="3">
        <v>60.0</v>
      </c>
      <c r="D352" s="15" t="s">
        <v>14</v>
      </c>
      <c r="E352" s="8">
        <v>6.0</v>
      </c>
      <c r="F352" s="1">
        <v>2150.0</v>
      </c>
      <c r="G352" s="4">
        <f t="shared" si="1"/>
        <v>102</v>
      </c>
      <c r="H352" s="4">
        <f t="shared" si="2"/>
        <v>118</v>
      </c>
      <c r="I352" s="5">
        <f t="shared" si="3"/>
        <v>11.93733639</v>
      </c>
      <c r="J352" s="5">
        <f t="shared" si="4"/>
        <v>1.732600733</v>
      </c>
      <c r="K352" s="1" t="s">
        <v>16</v>
      </c>
      <c r="L352" s="6">
        <f t="shared" si="5"/>
        <v>0.119047619</v>
      </c>
    </row>
    <row r="353" ht="15.75" customHeight="1">
      <c r="A353" s="3">
        <v>12.5347593582888</v>
      </c>
      <c r="B353" s="13" t="s">
        <v>25</v>
      </c>
      <c r="C353" s="3">
        <v>60.0</v>
      </c>
      <c r="D353" s="15" t="s">
        <v>14</v>
      </c>
      <c r="E353" s="8">
        <v>7.0</v>
      </c>
      <c r="F353" s="1">
        <v>2175.0</v>
      </c>
      <c r="G353" s="4">
        <f t="shared" si="1"/>
        <v>127</v>
      </c>
      <c r="H353" s="4">
        <f t="shared" si="2"/>
        <v>178</v>
      </c>
      <c r="I353" s="5">
        <f t="shared" si="3"/>
        <v>125.4691197</v>
      </c>
      <c r="J353" s="5">
        <f t="shared" si="4"/>
        <v>1.752747253</v>
      </c>
      <c r="K353" s="1" t="s">
        <v>16</v>
      </c>
      <c r="L353" s="6">
        <f t="shared" si="5"/>
        <v>0.1488095238</v>
      </c>
    </row>
    <row r="354" ht="15.75" customHeight="1">
      <c r="A354" s="3">
        <v>12.5503159941663</v>
      </c>
      <c r="B354" s="13" t="s">
        <v>25</v>
      </c>
      <c r="C354" s="3">
        <v>60.0</v>
      </c>
      <c r="D354" s="15" t="s">
        <v>14</v>
      </c>
      <c r="E354" s="8">
        <v>8.0</v>
      </c>
      <c r="F354" s="1">
        <v>2160.0</v>
      </c>
      <c r="G354" s="4">
        <f t="shared" si="1"/>
        <v>112</v>
      </c>
      <c r="H354" s="4">
        <f t="shared" si="2"/>
        <v>238</v>
      </c>
      <c r="I354" s="5">
        <f t="shared" si="3"/>
        <v>161.5317306</v>
      </c>
      <c r="J354" s="5">
        <f t="shared" si="4"/>
        <v>1.740659341</v>
      </c>
      <c r="K354" s="1" t="s">
        <v>16</v>
      </c>
      <c r="L354" s="6">
        <f t="shared" si="5"/>
        <v>0.130952381</v>
      </c>
    </row>
    <row r="355" ht="15.75" customHeight="1">
      <c r="A355" s="3">
        <v>12.5658726300438</v>
      </c>
      <c r="B355" s="13" t="s">
        <v>25</v>
      </c>
      <c r="C355" s="3">
        <v>60.0</v>
      </c>
      <c r="D355" s="15" t="s">
        <v>14</v>
      </c>
      <c r="E355" s="8">
        <v>9.0</v>
      </c>
      <c r="F355" s="1">
        <v>2180.0</v>
      </c>
      <c r="G355" s="4">
        <f t="shared" si="1"/>
        <v>132</v>
      </c>
      <c r="H355" s="4">
        <f t="shared" si="2"/>
        <v>298</v>
      </c>
      <c r="I355" s="5">
        <f t="shared" si="3"/>
        <v>158.7214541</v>
      </c>
      <c r="J355" s="5">
        <f t="shared" si="4"/>
        <v>1.756776557</v>
      </c>
      <c r="K355" s="1" t="s">
        <v>16</v>
      </c>
      <c r="L355" s="6">
        <f t="shared" si="5"/>
        <v>0.1547619048</v>
      </c>
    </row>
    <row r="356" ht="15.75" customHeight="1">
      <c r="A356" s="3">
        <v>12.5814292659213</v>
      </c>
      <c r="B356" s="13" t="s">
        <v>25</v>
      </c>
      <c r="C356" s="3">
        <v>60.0</v>
      </c>
      <c r="D356" s="15" t="s">
        <v>14</v>
      </c>
      <c r="E356" s="8">
        <v>10.0</v>
      </c>
      <c r="F356" s="1">
        <v>2165.0</v>
      </c>
      <c r="G356" s="4">
        <f t="shared" si="1"/>
        <v>117</v>
      </c>
      <c r="H356" s="4">
        <f t="shared" si="2"/>
        <v>358</v>
      </c>
      <c r="I356" s="5">
        <f t="shared" si="3"/>
        <v>135.2497689</v>
      </c>
      <c r="J356" s="5">
        <f t="shared" si="4"/>
        <v>1.744688645</v>
      </c>
      <c r="K356" s="1" t="s">
        <v>16</v>
      </c>
      <c r="L356" s="6">
        <f t="shared" si="5"/>
        <v>0.1369047619</v>
      </c>
    </row>
    <row r="357" ht="15.75" customHeight="1">
      <c r="A357" s="3">
        <v>12.5969859017987</v>
      </c>
      <c r="B357" s="13" t="s">
        <v>25</v>
      </c>
      <c r="C357" s="3">
        <v>60.0</v>
      </c>
      <c r="D357" s="15" t="s">
        <v>14</v>
      </c>
      <c r="E357" s="8">
        <v>11.0</v>
      </c>
      <c r="F357" s="1">
        <v>2450.0</v>
      </c>
      <c r="G357" s="4">
        <f t="shared" si="1"/>
        <v>402</v>
      </c>
      <c r="H357" s="4">
        <f t="shared" si="2"/>
        <v>419</v>
      </c>
      <c r="I357" s="5">
        <f t="shared" si="3"/>
        <v>12.04159458</v>
      </c>
      <c r="J357" s="5">
        <f t="shared" si="4"/>
        <v>1.974358974</v>
      </c>
      <c r="K357" s="1" t="s">
        <v>17</v>
      </c>
      <c r="L357" s="6">
        <f t="shared" si="5"/>
        <v>0.4761904762</v>
      </c>
    </row>
    <row r="358" ht="15.75" customHeight="1">
      <c r="A358" s="3">
        <v>12.6125425376762</v>
      </c>
      <c r="B358" s="13" t="s">
        <v>25</v>
      </c>
      <c r="C358" s="3">
        <v>60.0</v>
      </c>
      <c r="D358" s="15" t="s">
        <v>14</v>
      </c>
      <c r="E358" s="8">
        <v>12.0</v>
      </c>
      <c r="F358" s="1">
        <v>2475.0</v>
      </c>
      <c r="G358" s="4">
        <f t="shared" si="1"/>
        <v>427</v>
      </c>
      <c r="H358" s="4">
        <f t="shared" si="2"/>
        <v>423.25</v>
      </c>
      <c r="I358" s="5">
        <f t="shared" si="3"/>
        <v>8.539125638</v>
      </c>
      <c r="J358" s="5">
        <f t="shared" si="4"/>
        <v>1.994505495</v>
      </c>
      <c r="K358" s="1" t="s">
        <v>17</v>
      </c>
      <c r="L358" s="6">
        <f t="shared" si="5"/>
        <v>0.505952381</v>
      </c>
    </row>
    <row r="359" ht="15.75" customHeight="1">
      <c r="A359" s="3">
        <v>12.6280991735537</v>
      </c>
      <c r="B359" s="13" t="s">
        <v>25</v>
      </c>
      <c r="C359" s="3">
        <v>60.0</v>
      </c>
      <c r="D359" s="15" t="s">
        <v>14</v>
      </c>
      <c r="E359" s="8">
        <v>13.0</v>
      </c>
      <c r="F359" s="1">
        <v>2460.0</v>
      </c>
      <c r="G359" s="4">
        <f t="shared" si="1"/>
        <v>412</v>
      </c>
      <c r="H359" s="4">
        <f t="shared" si="2"/>
        <v>422</v>
      </c>
      <c r="I359" s="5">
        <f t="shared" si="3"/>
        <v>10</v>
      </c>
      <c r="J359" s="5">
        <f t="shared" si="4"/>
        <v>1.982417582</v>
      </c>
      <c r="K359" s="1" t="s">
        <v>17</v>
      </c>
      <c r="L359" s="6">
        <f t="shared" si="5"/>
        <v>0.4880952381</v>
      </c>
    </row>
    <row r="360" ht="15.75" customHeight="1">
      <c r="A360" s="3">
        <v>12.6436558094312</v>
      </c>
      <c r="B360" s="13" t="s">
        <v>25</v>
      </c>
      <c r="C360" s="3">
        <v>60.0</v>
      </c>
      <c r="D360" s="15" t="s">
        <v>14</v>
      </c>
      <c r="E360" s="8">
        <v>14.0</v>
      </c>
      <c r="F360" s="1">
        <v>2480.0</v>
      </c>
      <c r="G360" s="4">
        <f t="shared" si="1"/>
        <v>432</v>
      </c>
      <c r="H360" s="4">
        <f t="shared" si="2"/>
        <v>427</v>
      </c>
      <c r="I360" s="5">
        <f t="shared" si="3"/>
        <v>7.071067812</v>
      </c>
      <c r="J360" s="5">
        <f t="shared" si="4"/>
        <v>1.998534799</v>
      </c>
      <c r="K360" s="1" t="s">
        <v>17</v>
      </c>
      <c r="L360" s="6">
        <f t="shared" si="5"/>
        <v>0.5119047619</v>
      </c>
    </row>
    <row r="361" ht="15.75" customHeight="1">
      <c r="A361" s="3">
        <v>12.6592124453087</v>
      </c>
      <c r="B361" s="13" t="s">
        <v>25</v>
      </c>
      <c r="C361" s="3">
        <v>60.0</v>
      </c>
      <c r="D361" s="15" t="s">
        <v>14</v>
      </c>
      <c r="E361" s="8">
        <v>15.0</v>
      </c>
      <c r="F361" s="1">
        <v>2470.0</v>
      </c>
      <c r="G361" s="4">
        <f t="shared" si="1"/>
        <v>422</v>
      </c>
      <c r="H361" s="4">
        <f t="shared" si="2"/>
        <v>422</v>
      </c>
      <c r="I361" s="5" t="str">
        <f t="shared" si="3"/>
        <v>#DIV/0!</v>
      </c>
      <c r="J361" s="5">
        <f t="shared" si="4"/>
        <v>1.99047619</v>
      </c>
      <c r="K361" s="1" t="s">
        <v>17</v>
      </c>
      <c r="L361" s="6">
        <f t="shared" si="5"/>
        <v>0.5</v>
      </c>
    </row>
    <row r="362" ht="15.75" customHeight="1">
      <c r="A362" s="3"/>
      <c r="I362" s="5"/>
      <c r="J362" s="5"/>
      <c r="L362" s="6"/>
    </row>
    <row r="363" ht="15.75" customHeight="1">
      <c r="A363" s="3"/>
      <c r="D363" s="13"/>
      <c r="E363" s="13"/>
      <c r="I363" s="5"/>
      <c r="J363" s="5"/>
      <c r="L363" s="6"/>
    </row>
    <row r="364" ht="15.75" customHeight="1">
      <c r="A364" s="3"/>
      <c r="I364" s="5"/>
      <c r="J364" s="5"/>
      <c r="L364" s="6"/>
    </row>
    <row r="365" ht="15.75" customHeight="1">
      <c r="A365" s="3"/>
      <c r="D365" s="13"/>
      <c r="E365" s="13"/>
      <c r="I365" s="5"/>
      <c r="J365" s="5"/>
      <c r="L365" s="6"/>
    </row>
    <row r="366" ht="15.75" customHeight="1">
      <c r="A366" s="3"/>
      <c r="I366" s="5"/>
      <c r="J366" s="5"/>
      <c r="L366" s="6"/>
    </row>
    <row r="367" ht="15.75" customHeight="1">
      <c r="A367" s="3"/>
      <c r="D367" s="13"/>
      <c r="E367" s="13"/>
      <c r="I367" s="5"/>
      <c r="J367" s="5"/>
      <c r="L367" s="6"/>
    </row>
    <row r="368" ht="15.75" customHeight="1">
      <c r="A368" s="3"/>
      <c r="I368" s="5"/>
      <c r="J368" s="5"/>
      <c r="L368" s="6"/>
    </row>
    <row r="369" ht="15.75" customHeight="1">
      <c r="A369" s="3"/>
      <c r="D369" s="13"/>
      <c r="E369" s="13"/>
      <c r="I369" s="5"/>
      <c r="J369" s="5"/>
      <c r="L369" s="6"/>
    </row>
    <row r="370" ht="15.75" customHeight="1">
      <c r="A370" s="3"/>
      <c r="I370" s="5"/>
      <c r="J370" s="5"/>
      <c r="L370" s="6"/>
    </row>
    <row r="371" ht="15.75" customHeight="1">
      <c r="A371" s="3"/>
      <c r="D371" s="13"/>
      <c r="E371" s="13"/>
      <c r="I371" s="5"/>
      <c r="J371" s="5"/>
      <c r="L371" s="6"/>
    </row>
    <row r="372" ht="15.75" customHeight="1">
      <c r="A372" s="3"/>
      <c r="I372" s="5"/>
      <c r="J372" s="5"/>
      <c r="L372" s="6"/>
    </row>
    <row r="373" ht="15.75" customHeight="1">
      <c r="A373" s="3"/>
      <c r="D373" s="13"/>
      <c r="E373" s="13"/>
      <c r="I373" s="5"/>
      <c r="J373" s="5"/>
      <c r="L373" s="6"/>
    </row>
    <row r="374" ht="15.75" customHeight="1">
      <c r="A374" s="3"/>
      <c r="I374" s="5"/>
      <c r="J374" s="5"/>
      <c r="L374" s="6"/>
    </row>
    <row r="375" ht="15.75" customHeight="1">
      <c r="A375" s="3"/>
      <c r="D375" s="13"/>
      <c r="E375" s="13"/>
      <c r="I375" s="5"/>
      <c r="J375" s="5"/>
      <c r="L375" s="6"/>
    </row>
    <row r="376" ht="15.75" customHeight="1">
      <c r="A376" s="3"/>
      <c r="I376" s="5"/>
      <c r="J376" s="5"/>
      <c r="L376" s="6"/>
    </row>
    <row r="377" ht="15.75" customHeight="1">
      <c r="A377" s="8"/>
      <c r="B377" s="9"/>
      <c r="C377" s="13"/>
      <c r="D377" s="13"/>
      <c r="E377" s="13"/>
      <c r="I377" s="5"/>
      <c r="J377" s="5"/>
      <c r="L377" s="6"/>
    </row>
    <row r="378" ht="15.75" customHeight="1">
      <c r="A378" s="8"/>
      <c r="B378" s="12"/>
      <c r="C378" s="13"/>
      <c r="I378" s="5"/>
      <c r="J378" s="5"/>
      <c r="L378" s="6"/>
    </row>
    <row r="379" ht="15.75" customHeight="1">
      <c r="A379" s="8"/>
      <c r="B379" s="9"/>
      <c r="C379" s="13"/>
      <c r="D379" s="13"/>
      <c r="E379" s="13"/>
      <c r="I379" s="5"/>
      <c r="J379" s="5"/>
      <c r="L379" s="6"/>
    </row>
    <row r="380" ht="15.75" customHeight="1">
      <c r="A380" s="8"/>
      <c r="B380" s="12"/>
      <c r="C380" s="13"/>
      <c r="I380" s="5"/>
      <c r="J380" s="5"/>
      <c r="L380" s="6"/>
    </row>
    <row r="381" ht="15.75" customHeight="1">
      <c r="A381" s="8"/>
      <c r="B381" s="9"/>
      <c r="C381" s="13"/>
      <c r="D381" s="13"/>
      <c r="E381" s="13"/>
      <c r="I381" s="5"/>
      <c r="J381" s="5"/>
      <c r="L381" s="6"/>
    </row>
    <row r="382" ht="15.75" customHeight="1">
      <c r="A382" s="8"/>
      <c r="B382" s="12"/>
      <c r="C382" s="13"/>
      <c r="I382" s="5"/>
      <c r="J382" s="5"/>
      <c r="L382" s="6"/>
    </row>
    <row r="383" ht="15.75" customHeight="1">
      <c r="A383" s="8"/>
      <c r="B383" s="9"/>
      <c r="C383" s="13"/>
      <c r="D383" s="13"/>
      <c r="E383" s="13"/>
      <c r="I383" s="5"/>
      <c r="J383" s="5"/>
      <c r="L383" s="6"/>
    </row>
    <row r="384" ht="15.75" customHeight="1">
      <c r="A384" s="8"/>
      <c r="B384" s="12"/>
      <c r="C384" s="13"/>
      <c r="I384" s="5"/>
      <c r="J384" s="5"/>
      <c r="L384" s="6"/>
    </row>
    <row r="385" ht="15.75" customHeight="1">
      <c r="A385" s="8"/>
      <c r="B385" s="9"/>
      <c r="C385" s="13"/>
      <c r="D385" s="13"/>
      <c r="E385" s="13"/>
      <c r="I385" s="5"/>
      <c r="J385" s="5"/>
      <c r="L385" s="6"/>
    </row>
    <row r="386" ht="15.75" customHeight="1">
      <c r="A386" s="8"/>
      <c r="B386" s="12"/>
      <c r="C386" s="13"/>
      <c r="I386" s="5"/>
      <c r="J386" s="5"/>
      <c r="L386" s="6"/>
    </row>
    <row r="387" ht="15.75" customHeight="1">
      <c r="A387" s="8"/>
      <c r="B387" s="9"/>
      <c r="C387" s="13"/>
      <c r="D387" s="13"/>
      <c r="E387" s="13"/>
      <c r="I387" s="5"/>
      <c r="J387" s="5"/>
      <c r="L387" s="6"/>
    </row>
    <row r="388" ht="15.75" customHeight="1">
      <c r="A388" s="8"/>
      <c r="B388" s="12"/>
      <c r="C388" s="13"/>
      <c r="I388" s="5"/>
      <c r="J388" s="5"/>
      <c r="L388" s="6"/>
    </row>
    <row r="389" ht="15.75" customHeight="1">
      <c r="A389" s="8"/>
      <c r="B389" s="9"/>
      <c r="C389" s="13"/>
      <c r="D389" s="13"/>
      <c r="E389" s="13"/>
      <c r="I389" s="5"/>
      <c r="J389" s="5"/>
      <c r="L389" s="6"/>
    </row>
    <row r="390" ht="15.75" customHeight="1">
      <c r="A390" s="8"/>
      <c r="B390" s="12"/>
      <c r="C390" s="13"/>
      <c r="I390" s="5"/>
      <c r="J390" s="5"/>
      <c r="L390" s="6"/>
    </row>
    <row r="391" ht="15.75" customHeight="1">
      <c r="A391" s="8"/>
      <c r="B391" s="9"/>
      <c r="C391" s="13"/>
      <c r="D391" s="13"/>
      <c r="E391" s="13"/>
      <c r="I391" s="5"/>
      <c r="J391" s="5"/>
      <c r="L391" s="6"/>
    </row>
    <row r="392" ht="15.75" customHeight="1">
      <c r="A392" s="8"/>
      <c r="B392" s="12"/>
      <c r="I392" s="5"/>
      <c r="J392" s="5"/>
      <c r="L392" s="6"/>
    </row>
    <row r="393" ht="15.75" customHeight="1">
      <c r="A393" s="8"/>
      <c r="B393" s="9"/>
      <c r="D393" s="13"/>
      <c r="E393" s="13"/>
      <c r="I393" s="5"/>
      <c r="J393" s="5"/>
      <c r="L393" s="6"/>
    </row>
    <row r="394" ht="15.75" customHeight="1">
      <c r="A394" s="8"/>
      <c r="B394" s="12"/>
      <c r="I394" s="5"/>
      <c r="J394" s="5"/>
      <c r="L394" s="6"/>
    </row>
    <row r="395" ht="15.75" customHeight="1">
      <c r="A395" s="8"/>
      <c r="B395" s="9"/>
      <c r="D395" s="13"/>
      <c r="E395" s="13"/>
      <c r="I395" s="5"/>
      <c r="J395" s="5"/>
      <c r="L395" s="6"/>
    </row>
    <row r="396" ht="15.75" customHeight="1">
      <c r="A396" s="8"/>
      <c r="B396" s="12"/>
      <c r="I396" s="5"/>
      <c r="J396" s="5"/>
      <c r="L396" s="6"/>
    </row>
    <row r="397" ht="15.75" customHeight="1">
      <c r="A397" s="8"/>
      <c r="B397" s="9"/>
      <c r="D397" s="13"/>
      <c r="E397" s="13"/>
      <c r="I397" s="5"/>
      <c r="J397" s="5"/>
      <c r="L397" s="6"/>
    </row>
    <row r="398" ht="15.75" customHeight="1">
      <c r="A398" s="8"/>
      <c r="B398" s="12"/>
      <c r="D398" s="13"/>
      <c r="E398" s="13"/>
      <c r="I398" s="5"/>
      <c r="J398" s="5"/>
      <c r="L398" s="6"/>
    </row>
    <row r="399" ht="15.75" customHeight="1">
      <c r="A399" s="8"/>
      <c r="B399" s="9"/>
      <c r="I399" s="5"/>
      <c r="J399" s="5"/>
      <c r="L399" s="6"/>
    </row>
    <row r="400" ht="15.75" customHeight="1">
      <c r="A400" s="8"/>
      <c r="B400" s="12"/>
      <c r="D400" s="13"/>
      <c r="E400" s="13"/>
      <c r="I400" s="5"/>
      <c r="J400" s="5"/>
      <c r="L400" s="6"/>
    </row>
    <row r="401" ht="15.75" customHeight="1">
      <c r="A401" s="8"/>
      <c r="B401" s="9"/>
      <c r="I401" s="5"/>
      <c r="J401" s="5"/>
      <c r="L401" s="6"/>
    </row>
    <row r="402" ht="15.75" customHeight="1">
      <c r="A402" s="8"/>
      <c r="B402" s="12"/>
      <c r="D402" s="13"/>
      <c r="E402" s="13"/>
      <c r="I402" s="5"/>
      <c r="J402" s="5"/>
      <c r="L402" s="6"/>
    </row>
    <row r="403" ht="15.75" customHeight="1">
      <c r="A403" s="8"/>
      <c r="B403" s="9"/>
      <c r="I403" s="5"/>
      <c r="J403" s="5"/>
      <c r="L403" s="6"/>
    </row>
    <row r="404" ht="15.75" customHeight="1">
      <c r="A404" s="8"/>
      <c r="B404" s="12"/>
      <c r="D404" s="13"/>
      <c r="E404" s="13"/>
      <c r="I404" s="5"/>
      <c r="J404" s="5"/>
      <c r="L404" s="6"/>
    </row>
    <row r="405" ht="15.75" customHeight="1">
      <c r="A405" s="8"/>
      <c r="B405" s="9"/>
      <c r="I405" s="5"/>
      <c r="J405" s="5"/>
      <c r="L405" s="6"/>
    </row>
    <row r="406" ht="15.75" customHeight="1">
      <c r="A406" s="8"/>
      <c r="B406" s="12"/>
      <c r="D406" s="13"/>
      <c r="E406" s="13"/>
      <c r="I406" s="5"/>
      <c r="J406" s="5"/>
      <c r="L406" s="6"/>
    </row>
    <row r="407" ht="15.75" customHeight="1">
      <c r="A407" s="8"/>
      <c r="B407" s="9"/>
      <c r="I407" s="5"/>
      <c r="J407" s="5"/>
      <c r="L407" s="6"/>
    </row>
    <row r="408" ht="15.75" customHeight="1">
      <c r="A408" s="8"/>
      <c r="B408" s="12"/>
      <c r="C408" s="13"/>
      <c r="D408" s="13"/>
      <c r="E408" s="13"/>
      <c r="I408" s="5"/>
      <c r="J408" s="5"/>
      <c r="L408" s="6"/>
    </row>
    <row r="409" ht="15.75" customHeight="1">
      <c r="A409" s="8"/>
      <c r="B409" s="9"/>
      <c r="I409" s="5"/>
      <c r="J409" s="5"/>
      <c r="L409" s="6"/>
    </row>
    <row r="410" ht="15.75" customHeight="1">
      <c r="A410" s="8"/>
      <c r="B410" s="12"/>
      <c r="C410" s="13"/>
      <c r="D410" s="13"/>
      <c r="E410" s="13"/>
      <c r="I410" s="5"/>
      <c r="J410" s="5"/>
      <c r="L410" s="6"/>
    </row>
    <row r="411" ht="15.75" customHeight="1">
      <c r="A411" s="8"/>
      <c r="B411" s="9"/>
      <c r="I411" s="5"/>
      <c r="J411" s="5"/>
      <c r="L411" s="6"/>
    </row>
    <row r="412" ht="15.75" customHeight="1">
      <c r="A412" s="8"/>
      <c r="B412" s="12"/>
      <c r="C412" s="13"/>
      <c r="D412" s="13"/>
      <c r="E412" s="13"/>
      <c r="I412" s="5"/>
      <c r="J412" s="5"/>
      <c r="L412" s="6"/>
    </row>
    <row r="413" ht="15.75" customHeight="1">
      <c r="A413" s="8"/>
      <c r="B413" s="9"/>
      <c r="I413" s="5"/>
      <c r="J413" s="5"/>
      <c r="L413" s="6"/>
    </row>
    <row r="414" ht="15.75" customHeight="1">
      <c r="A414" s="8"/>
      <c r="B414" s="12"/>
      <c r="C414" s="13"/>
      <c r="D414" s="13"/>
      <c r="E414" s="13"/>
      <c r="I414" s="5"/>
      <c r="J414" s="5"/>
      <c r="L414" s="6"/>
    </row>
    <row r="415" ht="15.75" customHeight="1">
      <c r="A415" s="8"/>
      <c r="B415" s="9"/>
      <c r="I415" s="5"/>
      <c r="J415" s="5"/>
      <c r="L415" s="6"/>
    </row>
    <row r="416" ht="15.75" customHeight="1">
      <c r="A416" s="8"/>
      <c r="B416" s="12"/>
      <c r="C416" s="13"/>
      <c r="D416" s="13"/>
      <c r="E416" s="13"/>
      <c r="I416" s="5"/>
      <c r="J416" s="5"/>
      <c r="L416" s="6"/>
    </row>
    <row r="417" ht="15.75" customHeight="1">
      <c r="A417" s="8"/>
      <c r="B417" s="9"/>
      <c r="I417" s="5"/>
      <c r="J417" s="5"/>
      <c r="L417" s="6"/>
    </row>
    <row r="418" ht="15.75" customHeight="1">
      <c r="A418" s="8"/>
      <c r="B418" s="12"/>
      <c r="C418" s="13"/>
      <c r="D418" s="13"/>
      <c r="E418" s="13"/>
      <c r="I418" s="5"/>
      <c r="J418" s="5"/>
      <c r="L418" s="6"/>
    </row>
    <row r="419" ht="15.75" customHeight="1">
      <c r="A419" s="8"/>
      <c r="B419" s="9"/>
      <c r="I419" s="5"/>
      <c r="J419" s="5"/>
      <c r="L419" s="6"/>
    </row>
    <row r="420" ht="15.75" customHeight="1">
      <c r="A420" s="8"/>
      <c r="B420" s="12"/>
      <c r="C420" s="13"/>
      <c r="D420" s="13"/>
      <c r="E420" s="13"/>
      <c r="I420" s="5"/>
      <c r="J420" s="5"/>
      <c r="L420" s="6"/>
    </row>
    <row r="421" ht="15.75" customHeight="1">
      <c r="A421" s="8"/>
      <c r="B421" s="9"/>
      <c r="I421" s="5"/>
      <c r="J421" s="5"/>
      <c r="L421" s="6"/>
    </row>
    <row r="422" ht="15.75" customHeight="1">
      <c r="A422" s="3"/>
      <c r="B422" s="13"/>
      <c r="C422" s="13"/>
      <c r="D422" s="13"/>
      <c r="E422" s="13"/>
      <c r="I422" s="5"/>
      <c r="J422" s="5"/>
      <c r="L422" s="6"/>
    </row>
    <row r="423" ht="15.75" customHeight="1">
      <c r="A423" s="3"/>
      <c r="B423" s="13"/>
      <c r="I423" s="5"/>
      <c r="J423" s="5"/>
      <c r="L423" s="6"/>
    </row>
    <row r="424" ht="15.75" customHeight="1">
      <c r="A424" s="3"/>
      <c r="B424" s="13"/>
      <c r="C424" s="13"/>
      <c r="D424" s="13"/>
      <c r="E424" s="13"/>
      <c r="I424" s="5"/>
      <c r="J424" s="5"/>
      <c r="L424" s="6"/>
    </row>
    <row r="425" ht="15.75" customHeight="1">
      <c r="A425" s="3"/>
      <c r="B425" s="13"/>
      <c r="I425" s="5"/>
      <c r="J425" s="5"/>
      <c r="L425" s="6"/>
    </row>
    <row r="426" ht="15.75" customHeight="1">
      <c r="A426" s="3"/>
      <c r="B426" s="13"/>
      <c r="C426" s="13"/>
      <c r="D426" s="13"/>
      <c r="E426" s="13"/>
      <c r="I426" s="5"/>
      <c r="J426" s="5"/>
      <c r="L426" s="6"/>
    </row>
    <row r="427" ht="15.75" customHeight="1">
      <c r="A427" s="3"/>
      <c r="B427" s="13"/>
      <c r="I427" s="5"/>
      <c r="J427" s="5"/>
      <c r="L427" s="6"/>
    </row>
    <row r="428" ht="15.75" customHeight="1">
      <c r="A428" s="3"/>
      <c r="B428" s="13"/>
      <c r="C428" s="13"/>
      <c r="D428" s="13"/>
      <c r="E428" s="13"/>
      <c r="I428" s="5"/>
      <c r="J428" s="5"/>
      <c r="L428" s="6"/>
    </row>
    <row r="429" ht="15.75" customHeight="1">
      <c r="A429" s="3"/>
      <c r="B429" s="13"/>
      <c r="I429" s="5"/>
      <c r="J429" s="5"/>
      <c r="L429" s="6"/>
    </row>
    <row r="430" ht="15.75" customHeight="1">
      <c r="A430" s="3"/>
      <c r="B430" s="13"/>
      <c r="C430" s="13"/>
      <c r="D430" s="13"/>
      <c r="E430" s="13"/>
      <c r="I430" s="5"/>
      <c r="J430" s="5"/>
      <c r="L430" s="6"/>
    </row>
    <row r="431" ht="15.75" customHeight="1">
      <c r="A431" s="3"/>
      <c r="B431" s="13"/>
      <c r="I431" s="5"/>
      <c r="J431" s="5"/>
      <c r="L431" s="6"/>
    </row>
    <row r="432" ht="15.75" customHeight="1">
      <c r="A432" s="3"/>
      <c r="B432" s="13"/>
      <c r="C432" s="13"/>
      <c r="D432" s="13"/>
      <c r="E432" s="13"/>
      <c r="I432" s="5"/>
      <c r="J432" s="5"/>
      <c r="L432" s="6"/>
    </row>
    <row r="433" ht="15.75" customHeight="1">
      <c r="A433" s="3"/>
      <c r="B433" s="13"/>
      <c r="I433" s="5"/>
      <c r="J433" s="5"/>
      <c r="L433" s="6"/>
    </row>
    <row r="434" ht="15.75" customHeight="1">
      <c r="A434" s="3"/>
      <c r="B434" s="13"/>
      <c r="C434" s="13"/>
      <c r="D434" s="13"/>
      <c r="E434" s="13"/>
      <c r="I434" s="5"/>
      <c r="J434" s="5"/>
      <c r="L434" s="6"/>
    </row>
    <row r="435" ht="15.75" customHeight="1">
      <c r="A435" s="3"/>
      <c r="B435" s="13"/>
      <c r="I435" s="5"/>
      <c r="J435" s="5"/>
      <c r="L435" s="6"/>
    </row>
    <row r="436" ht="15.75" customHeight="1">
      <c r="A436" s="3"/>
      <c r="B436" s="13"/>
      <c r="C436" s="13"/>
      <c r="D436" s="13"/>
      <c r="E436" s="13"/>
      <c r="I436" s="5"/>
      <c r="J436" s="5"/>
      <c r="L436" s="6"/>
    </row>
    <row r="437" ht="15.75" customHeight="1">
      <c r="A437" s="3"/>
      <c r="I437" s="5"/>
      <c r="J437" s="5"/>
      <c r="L437" s="6"/>
    </row>
    <row r="438" ht="15.75" customHeight="1">
      <c r="A438" s="3"/>
      <c r="C438" s="13"/>
      <c r="D438" s="13"/>
      <c r="E438" s="13"/>
      <c r="I438" s="5"/>
      <c r="J438" s="5"/>
      <c r="L438" s="6"/>
    </row>
    <row r="439" ht="15.75" customHeight="1">
      <c r="A439" s="3"/>
      <c r="I439" s="5"/>
      <c r="J439" s="5"/>
      <c r="L439" s="6"/>
    </row>
    <row r="440" ht="15.75" customHeight="1">
      <c r="A440" s="3"/>
      <c r="C440" s="13"/>
      <c r="D440" s="13"/>
      <c r="E440" s="13"/>
      <c r="I440" s="5"/>
      <c r="J440" s="5"/>
      <c r="L440" s="6"/>
    </row>
    <row r="441" ht="15.75" customHeight="1">
      <c r="A441" s="3"/>
      <c r="I441" s="5"/>
      <c r="J441" s="5"/>
      <c r="L441" s="6"/>
    </row>
    <row r="442" ht="15.75" customHeight="1">
      <c r="A442" s="3"/>
      <c r="C442" s="13"/>
      <c r="D442" s="13"/>
      <c r="E442" s="13"/>
      <c r="I442" s="5"/>
      <c r="J442" s="5"/>
      <c r="L442" s="6"/>
    </row>
    <row r="443" ht="15.75" customHeight="1">
      <c r="A443" s="3"/>
      <c r="I443" s="5"/>
      <c r="J443" s="5"/>
      <c r="L443" s="6"/>
    </row>
    <row r="444" ht="15.75" customHeight="1">
      <c r="A444" s="3"/>
      <c r="C444" s="13"/>
      <c r="D444" s="13"/>
      <c r="E444" s="13"/>
      <c r="I444" s="5"/>
      <c r="J444" s="5"/>
      <c r="L444" s="6"/>
    </row>
    <row r="445" ht="15.75" customHeight="1">
      <c r="A445" s="3"/>
      <c r="I445" s="5"/>
      <c r="J445" s="5"/>
      <c r="L445" s="6"/>
    </row>
    <row r="446" ht="15.75" customHeight="1">
      <c r="A446" s="3"/>
      <c r="C446" s="13"/>
      <c r="D446" s="13"/>
      <c r="E446" s="13"/>
      <c r="I446" s="5"/>
      <c r="J446" s="5"/>
      <c r="L446" s="6"/>
    </row>
    <row r="447" ht="15.75" customHeight="1">
      <c r="A447" s="3"/>
      <c r="I447" s="5"/>
      <c r="J447" s="5"/>
      <c r="L447" s="6"/>
    </row>
    <row r="448" ht="15.75" customHeight="1">
      <c r="A448" s="3"/>
      <c r="C448" s="13"/>
      <c r="D448" s="13"/>
      <c r="E448" s="13"/>
      <c r="I448" s="5"/>
      <c r="J448" s="5"/>
      <c r="L448" s="6"/>
    </row>
    <row r="449" ht="15.75" customHeight="1">
      <c r="A449" s="3"/>
      <c r="I449" s="5"/>
      <c r="J449" s="5"/>
      <c r="L449" s="6"/>
    </row>
    <row r="450" ht="15.75" customHeight="1">
      <c r="A450" s="3"/>
      <c r="C450" s="13"/>
      <c r="D450" s="13"/>
      <c r="E450" s="13"/>
      <c r="I450" s="5"/>
      <c r="J450" s="5"/>
      <c r="L450" s="6"/>
    </row>
    <row r="451" ht="15.75" customHeight="1">
      <c r="A451" s="3"/>
      <c r="I451" s="5"/>
      <c r="J451" s="5"/>
      <c r="L451" s="6"/>
    </row>
    <row r="452" ht="15.75" customHeight="1">
      <c r="A452" s="3"/>
      <c r="B452" s="13"/>
      <c r="C452" s="13"/>
      <c r="D452" s="13"/>
      <c r="E452" s="13"/>
      <c r="I452" s="5"/>
      <c r="J452" s="5"/>
      <c r="L452" s="6"/>
    </row>
    <row r="453" ht="15.75" customHeight="1">
      <c r="A453" s="3"/>
      <c r="B453" s="13"/>
      <c r="I453" s="5"/>
      <c r="J453" s="5"/>
      <c r="L453" s="6"/>
    </row>
    <row r="454" ht="15.75" customHeight="1">
      <c r="A454" s="3"/>
      <c r="B454" s="13"/>
      <c r="C454" s="13"/>
      <c r="D454" s="13"/>
      <c r="E454" s="13"/>
      <c r="I454" s="5"/>
      <c r="J454" s="5"/>
      <c r="L454" s="6"/>
    </row>
    <row r="455" ht="15.75" customHeight="1">
      <c r="A455" s="3"/>
      <c r="B455" s="13"/>
      <c r="I455" s="5"/>
      <c r="J455" s="5"/>
      <c r="L455" s="6"/>
    </row>
    <row r="456" ht="15.75" customHeight="1">
      <c r="A456" s="3"/>
      <c r="B456" s="13"/>
      <c r="C456" s="13"/>
      <c r="D456" s="13"/>
      <c r="E456" s="13"/>
      <c r="I456" s="5"/>
      <c r="J456" s="5"/>
      <c r="L456" s="6"/>
    </row>
    <row r="457" ht="15.75" customHeight="1">
      <c r="A457" s="3"/>
      <c r="B457" s="13"/>
      <c r="I457" s="5"/>
      <c r="J457" s="5"/>
      <c r="L457" s="6"/>
    </row>
    <row r="458" ht="15.75" customHeight="1">
      <c r="A458" s="3"/>
      <c r="B458" s="13"/>
      <c r="C458" s="13"/>
      <c r="D458" s="13"/>
      <c r="E458" s="13"/>
      <c r="I458" s="5"/>
      <c r="J458" s="5"/>
      <c r="L458" s="6"/>
    </row>
    <row r="459" ht="15.75" customHeight="1">
      <c r="A459" s="3"/>
      <c r="B459" s="13"/>
      <c r="I459" s="5"/>
      <c r="J459" s="5"/>
      <c r="L459" s="6"/>
    </row>
    <row r="460" ht="15.75" customHeight="1">
      <c r="A460" s="3"/>
      <c r="B460" s="13"/>
      <c r="C460" s="13"/>
      <c r="D460" s="13"/>
      <c r="E460" s="13"/>
      <c r="I460" s="5"/>
      <c r="J460" s="5"/>
      <c r="L460" s="6"/>
    </row>
    <row r="461" ht="15.75" customHeight="1">
      <c r="A461" s="3"/>
      <c r="B461" s="13"/>
      <c r="I461" s="5"/>
      <c r="J461" s="5"/>
      <c r="L461" s="6"/>
    </row>
    <row r="462" ht="15.75" customHeight="1">
      <c r="A462" s="3"/>
      <c r="B462" s="13"/>
      <c r="C462" s="13"/>
      <c r="D462" s="13"/>
      <c r="E462" s="13"/>
      <c r="I462" s="5"/>
      <c r="J462" s="5"/>
      <c r="L462" s="6"/>
    </row>
    <row r="463" ht="15.75" customHeight="1">
      <c r="A463" s="3"/>
      <c r="B463" s="13"/>
      <c r="I463" s="5"/>
      <c r="J463" s="5"/>
      <c r="L463" s="6"/>
    </row>
    <row r="464" ht="15.75" customHeight="1">
      <c r="A464" s="3"/>
      <c r="B464" s="13"/>
      <c r="C464" s="13"/>
      <c r="D464" s="13"/>
      <c r="E464" s="13"/>
      <c r="I464" s="5"/>
      <c r="J464" s="5"/>
      <c r="L464" s="6"/>
    </row>
    <row r="465" ht="15.75" customHeight="1">
      <c r="A465" s="3"/>
      <c r="B465" s="13"/>
      <c r="I465" s="5"/>
      <c r="J465" s="5"/>
      <c r="L465" s="6"/>
    </row>
    <row r="466" ht="15.75" customHeight="1">
      <c r="A466" s="3"/>
      <c r="B466" s="13"/>
      <c r="C466" s="13"/>
      <c r="D466" s="13"/>
      <c r="E466" s="13"/>
      <c r="I466" s="5"/>
      <c r="J466" s="5"/>
      <c r="L466" s="6"/>
    </row>
    <row r="467" ht="15.75" customHeight="1">
      <c r="A467" s="3"/>
      <c r="B467" s="13"/>
      <c r="I467" s="5"/>
      <c r="J467" s="5"/>
      <c r="L467" s="6"/>
    </row>
    <row r="468" ht="15.75" customHeight="1">
      <c r="A468" s="3"/>
      <c r="B468" s="13"/>
      <c r="C468" s="13"/>
      <c r="D468" s="13"/>
      <c r="E468" s="13"/>
      <c r="I468" s="5"/>
      <c r="J468" s="5"/>
      <c r="L468" s="6"/>
    </row>
    <row r="469" ht="15.75" customHeight="1">
      <c r="A469" s="3"/>
      <c r="B469" s="13"/>
      <c r="I469" s="5"/>
      <c r="J469" s="5"/>
      <c r="L469" s="6"/>
    </row>
    <row r="470" ht="15.75" customHeight="1">
      <c r="A470" s="3"/>
      <c r="B470" s="13"/>
      <c r="C470" s="13"/>
      <c r="D470" s="13"/>
      <c r="E470" s="13"/>
      <c r="I470" s="5"/>
      <c r="J470" s="5"/>
      <c r="L470" s="6"/>
    </row>
    <row r="471" ht="15.75" customHeight="1">
      <c r="A471" s="3"/>
      <c r="B471" s="13"/>
      <c r="I471" s="5"/>
      <c r="J471" s="5"/>
      <c r="L471" s="6"/>
    </row>
    <row r="472" ht="15.75" customHeight="1">
      <c r="A472" s="3"/>
      <c r="B472" s="13"/>
      <c r="C472" s="13"/>
      <c r="D472" s="13"/>
      <c r="E472" s="13"/>
      <c r="I472" s="5"/>
      <c r="J472" s="5"/>
      <c r="L472" s="6"/>
    </row>
    <row r="473" ht="15.75" customHeight="1">
      <c r="A473" s="3"/>
      <c r="B473" s="13"/>
      <c r="I473" s="5"/>
      <c r="J473" s="5"/>
      <c r="L473" s="6"/>
    </row>
    <row r="474" ht="15.75" customHeight="1">
      <c r="A474" s="3"/>
      <c r="B474" s="13"/>
      <c r="C474" s="13"/>
      <c r="D474" s="13"/>
      <c r="E474" s="13"/>
      <c r="I474" s="5"/>
      <c r="J474" s="5"/>
      <c r="L474" s="6"/>
    </row>
    <row r="475" ht="15.75" customHeight="1">
      <c r="A475" s="3"/>
      <c r="B475" s="13"/>
      <c r="I475" s="5"/>
      <c r="J475" s="5"/>
      <c r="L475" s="6"/>
    </row>
    <row r="476" ht="15.75" customHeight="1">
      <c r="A476" s="3"/>
      <c r="B476" s="13"/>
      <c r="C476" s="13"/>
      <c r="D476" s="13"/>
      <c r="E476" s="13"/>
      <c r="I476" s="5"/>
      <c r="J476" s="5"/>
      <c r="L476" s="6"/>
    </row>
    <row r="477" ht="15.75" customHeight="1">
      <c r="A477" s="3"/>
      <c r="B477" s="13"/>
      <c r="I477" s="5"/>
      <c r="J477" s="5"/>
      <c r="L477" s="6"/>
    </row>
    <row r="478" ht="15.75" customHeight="1">
      <c r="A478" s="3"/>
      <c r="B478" s="13"/>
      <c r="C478" s="13"/>
      <c r="D478" s="13"/>
      <c r="E478" s="13"/>
      <c r="I478" s="5"/>
      <c r="J478" s="5"/>
      <c r="L478" s="6"/>
    </row>
    <row r="479" ht="15.75" customHeight="1">
      <c r="A479" s="3"/>
      <c r="B479" s="13"/>
      <c r="I479" s="5"/>
      <c r="J479" s="5"/>
      <c r="L479" s="6"/>
    </row>
    <row r="480" ht="15.75" customHeight="1">
      <c r="A480" s="3"/>
      <c r="B480" s="13"/>
      <c r="C480" s="13"/>
      <c r="D480" s="13"/>
      <c r="E480" s="13"/>
      <c r="I480" s="5"/>
      <c r="J480" s="5"/>
      <c r="L480" s="6"/>
    </row>
    <row r="481" ht="15.75" customHeight="1">
      <c r="A481" s="3"/>
      <c r="B481" s="13"/>
      <c r="I481" s="5"/>
      <c r="J481" s="5"/>
      <c r="L481" s="6"/>
    </row>
    <row r="482" ht="15.75" customHeight="1">
      <c r="A482" s="3"/>
      <c r="C482" s="13"/>
      <c r="D482" s="13"/>
      <c r="E482" s="13"/>
      <c r="I482" s="5"/>
      <c r="J482" s="5"/>
      <c r="L482" s="6"/>
    </row>
    <row r="483" ht="15.75" customHeight="1">
      <c r="A483" s="3"/>
      <c r="I483" s="5"/>
      <c r="J483" s="5"/>
      <c r="L483" s="6"/>
    </row>
    <row r="484" ht="15.75" customHeight="1">
      <c r="A484" s="3"/>
      <c r="C484" s="13"/>
      <c r="D484" s="13"/>
      <c r="E484" s="13"/>
      <c r="I484" s="5"/>
      <c r="J484" s="5"/>
      <c r="L484" s="6"/>
    </row>
    <row r="485" ht="15.75" customHeight="1">
      <c r="A485" s="3"/>
      <c r="I485" s="5"/>
      <c r="J485" s="5"/>
      <c r="L485" s="6"/>
    </row>
    <row r="486" ht="15.75" customHeight="1">
      <c r="A486" s="3"/>
      <c r="C486" s="13"/>
      <c r="D486" s="13"/>
      <c r="E486" s="13"/>
      <c r="I486" s="5"/>
      <c r="J486" s="5"/>
      <c r="L486" s="6"/>
    </row>
    <row r="487" ht="15.75" customHeight="1">
      <c r="A487" s="3"/>
      <c r="I487" s="5"/>
      <c r="J487" s="5"/>
      <c r="L487" s="6"/>
    </row>
    <row r="488" ht="15.75" customHeight="1">
      <c r="A488" s="3"/>
      <c r="C488" s="13"/>
      <c r="D488" s="13"/>
      <c r="E488" s="13"/>
      <c r="I488" s="5"/>
      <c r="J488" s="5"/>
      <c r="L488" s="6"/>
    </row>
    <row r="489" ht="15.75" customHeight="1">
      <c r="A489" s="3"/>
      <c r="I489" s="5"/>
      <c r="J489" s="5"/>
      <c r="L489" s="6"/>
    </row>
    <row r="490" ht="15.75" customHeight="1">
      <c r="A490" s="3"/>
      <c r="C490" s="13"/>
      <c r="D490" s="13"/>
      <c r="E490" s="13"/>
      <c r="I490" s="5"/>
      <c r="J490" s="5"/>
      <c r="L490" s="6"/>
    </row>
    <row r="491" ht="15.75" customHeight="1">
      <c r="A491" s="3"/>
      <c r="I491" s="5"/>
      <c r="J491" s="5"/>
      <c r="L491" s="6"/>
    </row>
    <row r="492" ht="15.75" customHeight="1">
      <c r="A492" s="3"/>
      <c r="C492" s="13"/>
      <c r="D492" s="13"/>
      <c r="E492" s="13"/>
      <c r="I492" s="5"/>
      <c r="J492" s="5"/>
      <c r="L492" s="6"/>
    </row>
    <row r="493" ht="15.75" customHeight="1">
      <c r="A493" s="3"/>
      <c r="I493" s="5"/>
      <c r="J493" s="5"/>
      <c r="L493" s="6"/>
    </row>
    <row r="494" ht="15.75" customHeight="1">
      <c r="A494" s="3"/>
      <c r="C494" s="13"/>
      <c r="D494" s="13"/>
      <c r="E494" s="13"/>
      <c r="I494" s="5"/>
      <c r="J494" s="5"/>
      <c r="L494" s="6"/>
    </row>
    <row r="495" ht="15.75" customHeight="1">
      <c r="A495" s="3"/>
      <c r="I495" s="5"/>
      <c r="J495" s="5"/>
      <c r="L495" s="6"/>
    </row>
    <row r="496" ht="15.75" customHeight="1">
      <c r="A496" s="3"/>
      <c r="C496" s="13"/>
      <c r="D496" s="13"/>
      <c r="E496" s="13"/>
      <c r="I496" s="5"/>
      <c r="J496" s="5"/>
      <c r="L496" s="6"/>
    </row>
    <row r="497" ht="15.75" customHeight="1">
      <c r="A497" s="8"/>
      <c r="B497" s="9"/>
      <c r="C497" s="13"/>
      <c r="D497" s="13"/>
      <c r="E497" s="13"/>
      <c r="I497" s="5"/>
      <c r="J497" s="5"/>
      <c r="L497" s="6"/>
    </row>
    <row r="498" ht="15.75" customHeight="1">
      <c r="A498" s="8"/>
      <c r="B498" s="12"/>
      <c r="I498" s="5"/>
      <c r="J498" s="5"/>
      <c r="L498" s="6"/>
    </row>
    <row r="499" ht="15.75" customHeight="1">
      <c r="A499" s="8"/>
      <c r="B499" s="9"/>
      <c r="C499" s="13"/>
      <c r="D499" s="13"/>
      <c r="E499" s="13"/>
      <c r="I499" s="5"/>
      <c r="J499" s="5"/>
      <c r="L499" s="6"/>
    </row>
    <row r="500" ht="15.75" customHeight="1">
      <c r="A500" s="8"/>
      <c r="B500" s="12"/>
      <c r="I500" s="5"/>
      <c r="J500" s="5"/>
      <c r="L500" s="6"/>
    </row>
    <row r="501" ht="15.75" customHeight="1">
      <c r="A501" s="8"/>
      <c r="B501" s="9"/>
      <c r="C501" s="13"/>
      <c r="D501" s="13"/>
      <c r="E501" s="13"/>
      <c r="I501" s="5"/>
      <c r="J501" s="5"/>
      <c r="L501" s="6"/>
    </row>
    <row r="502" ht="15.75" customHeight="1">
      <c r="A502" s="8"/>
      <c r="B502" s="12"/>
      <c r="I502" s="5"/>
      <c r="J502" s="5"/>
      <c r="L502" s="6"/>
    </row>
    <row r="503" ht="15.75" customHeight="1">
      <c r="A503" s="8"/>
      <c r="B503" s="9"/>
      <c r="C503" s="13"/>
      <c r="D503" s="13"/>
      <c r="E503" s="13"/>
      <c r="I503" s="5"/>
      <c r="J503" s="5"/>
      <c r="L503" s="6"/>
    </row>
    <row r="504" ht="15.75" customHeight="1">
      <c r="A504" s="8"/>
      <c r="B504" s="12"/>
      <c r="I504" s="5"/>
      <c r="J504" s="5"/>
      <c r="L504" s="6"/>
    </row>
    <row r="505" ht="15.75" customHeight="1">
      <c r="A505" s="8"/>
      <c r="B505" s="9"/>
      <c r="C505" s="13"/>
      <c r="D505" s="13"/>
      <c r="E505" s="13"/>
      <c r="I505" s="5"/>
      <c r="J505" s="5"/>
      <c r="L505" s="6"/>
    </row>
    <row r="506" ht="15.75" customHeight="1">
      <c r="A506" s="8"/>
      <c r="B506" s="12"/>
      <c r="I506" s="5"/>
      <c r="J506" s="5"/>
      <c r="L506" s="6"/>
    </row>
    <row r="507" ht="15.75" customHeight="1">
      <c r="A507" s="8"/>
      <c r="B507" s="9"/>
      <c r="C507" s="13"/>
      <c r="D507" s="13"/>
      <c r="E507" s="13"/>
      <c r="I507" s="5"/>
      <c r="J507" s="5"/>
      <c r="L507" s="6"/>
    </row>
    <row r="508" ht="15.75" customHeight="1">
      <c r="A508" s="8"/>
      <c r="B508" s="12"/>
      <c r="I508" s="5"/>
      <c r="J508" s="5"/>
      <c r="L508" s="6"/>
    </row>
    <row r="509" ht="15.75" customHeight="1">
      <c r="A509" s="8"/>
      <c r="B509" s="9"/>
      <c r="C509" s="13"/>
      <c r="D509" s="13"/>
      <c r="E509" s="13"/>
      <c r="I509" s="5"/>
      <c r="J509" s="5"/>
      <c r="L509" s="6"/>
    </row>
    <row r="510" ht="15.75" customHeight="1">
      <c r="A510" s="8"/>
      <c r="B510" s="12"/>
      <c r="I510" s="5"/>
      <c r="J510" s="5"/>
      <c r="L510" s="6"/>
    </row>
    <row r="511" ht="15.75" customHeight="1">
      <c r="A511" s="8"/>
      <c r="B511" s="9"/>
      <c r="C511" s="13"/>
      <c r="D511" s="13"/>
      <c r="E511" s="13"/>
    </row>
    <row r="512" ht="15.75" customHeight="1">
      <c r="A512" s="1"/>
    </row>
    <row r="513" ht="15.75" customHeight="1">
      <c r="A513" s="13"/>
      <c r="B513" s="13"/>
      <c r="C513" s="13"/>
      <c r="D513" s="13"/>
      <c r="E513" s="13"/>
    </row>
    <row r="514" ht="15.75" customHeight="1">
      <c r="A514" s="1"/>
    </row>
    <row r="515" ht="15.75" customHeight="1">
      <c r="A515" s="13"/>
      <c r="B515" s="13"/>
      <c r="C515" s="13"/>
      <c r="D515" s="13"/>
      <c r="E515" s="13"/>
    </row>
    <row r="516" ht="15.75" customHeight="1">
      <c r="A516" s="1"/>
    </row>
    <row r="517" ht="15.75" customHeight="1">
      <c r="A517" s="13"/>
      <c r="B517" s="13"/>
      <c r="C517" s="13"/>
      <c r="D517" s="13"/>
      <c r="E517" s="13"/>
    </row>
    <row r="518" ht="15.75" customHeight="1">
      <c r="A518" s="1"/>
    </row>
    <row r="519" ht="15.75" customHeight="1">
      <c r="A519" s="13"/>
      <c r="B519" s="13"/>
      <c r="C519" s="13"/>
      <c r="D519" s="13"/>
      <c r="E519" s="13"/>
    </row>
    <row r="520" ht="15.75" customHeight="1">
      <c r="A520" s="1"/>
    </row>
    <row r="521" ht="15.75" customHeight="1">
      <c r="A521" s="13"/>
      <c r="B521" s="13"/>
      <c r="C521" s="13"/>
      <c r="D521" s="13"/>
      <c r="E521" s="13"/>
    </row>
    <row r="522" ht="15.75" customHeight="1">
      <c r="A522" s="1"/>
    </row>
    <row r="523" ht="15.75" customHeight="1">
      <c r="A523" s="13"/>
      <c r="B523" s="13"/>
      <c r="C523" s="13"/>
      <c r="D523" s="13"/>
      <c r="E523" s="13"/>
    </row>
    <row r="524" ht="15.75" customHeight="1">
      <c r="A524" s="1"/>
    </row>
    <row r="525" ht="15.75" customHeight="1">
      <c r="A525" s="13"/>
      <c r="B525" s="13"/>
      <c r="C525" s="13"/>
      <c r="D525" s="13"/>
      <c r="E525" s="13"/>
    </row>
    <row r="526" ht="15.75" customHeight="1">
      <c r="A526" s="1"/>
    </row>
    <row r="527" ht="15.75" customHeight="1">
      <c r="A527" s="13"/>
      <c r="B527" s="13"/>
      <c r="C527" s="13"/>
      <c r="D527" s="13"/>
      <c r="E527" s="13"/>
    </row>
    <row r="528" ht="15.75" customHeight="1">
      <c r="A528" s="1"/>
    </row>
    <row r="529" ht="15.75" customHeight="1">
      <c r="A529" s="13"/>
      <c r="B529" s="13"/>
      <c r="C529" s="13"/>
      <c r="D529" s="13"/>
      <c r="E529" s="13"/>
    </row>
    <row r="530" ht="15.75" customHeight="1">
      <c r="A530" s="1"/>
    </row>
    <row r="531" ht="15.75" customHeight="1">
      <c r="A531" s="13"/>
      <c r="B531" s="13"/>
      <c r="C531" s="13"/>
      <c r="D531" s="13"/>
      <c r="E531" s="13"/>
    </row>
    <row r="532" ht="15.75" customHeight="1">
      <c r="A532" s="1"/>
    </row>
    <row r="533" ht="15.75" customHeight="1">
      <c r="A533" s="13"/>
      <c r="B533" s="13"/>
      <c r="C533" s="13"/>
      <c r="D533" s="13"/>
      <c r="E533" s="13"/>
    </row>
    <row r="534" ht="15.75" customHeight="1">
      <c r="A534" s="1"/>
    </row>
    <row r="535" ht="15.75" customHeight="1">
      <c r="A535" s="13"/>
      <c r="B535" s="13"/>
      <c r="C535" s="13"/>
      <c r="D535" s="13"/>
      <c r="E535" s="13"/>
    </row>
    <row r="536" ht="15.75" customHeight="1">
      <c r="A536" s="1"/>
    </row>
    <row r="537" ht="15.75" customHeight="1">
      <c r="A537" s="13"/>
      <c r="B537" s="13"/>
      <c r="C537" s="13"/>
      <c r="D537" s="13"/>
      <c r="E537" s="13"/>
    </row>
    <row r="538" ht="15.75" customHeight="1">
      <c r="A538" s="1"/>
    </row>
    <row r="539" ht="15.75" customHeight="1">
      <c r="A539" s="13"/>
      <c r="B539" s="13"/>
      <c r="C539" s="13"/>
      <c r="D539" s="13"/>
      <c r="E539" s="13"/>
    </row>
    <row r="540" ht="15.75" customHeight="1">
      <c r="A540" s="1"/>
    </row>
    <row r="541" ht="15.75" customHeight="1">
      <c r="A541" s="13"/>
      <c r="B541" s="13"/>
      <c r="C541" s="13"/>
      <c r="D541" s="13"/>
      <c r="E541" s="13"/>
    </row>
    <row r="542" ht="15.75" customHeight="1">
      <c r="A542" s="1"/>
    </row>
    <row r="543" ht="15.75" customHeight="1">
      <c r="A543" s="13"/>
      <c r="B543" s="13"/>
      <c r="C543" s="13"/>
      <c r="D543" s="13"/>
      <c r="E543" s="13"/>
    </row>
    <row r="544" ht="15.75" customHeight="1">
      <c r="A544" s="1"/>
    </row>
    <row r="545" ht="15.75" customHeight="1">
      <c r="A545" s="13"/>
      <c r="B545" s="13"/>
      <c r="C545" s="13"/>
      <c r="D545" s="13"/>
      <c r="E545" s="13"/>
    </row>
    <row r="546" ht="15.75" customHeight="1">
      <c r="A546" s="1"/>
    </row>
    <row r="547" ht="15.75" customHeight="1">
      <c r="A547" s="13"/>
      <c r="B547" s="13"/>
      <c r="C547" s="13"/>
      <c r="D547" s="13"/>
      <c r="E547" s="13"/>
    </row>
    <row r="548" ht="15.75" customHeight="1">
      <c r="A548" s="1"/>
    </row>
    <row r="549" ht="15.75" customHeight="1">
      <c r="A549" s="13"/>
      <c r="B549" s="13"/>
      <c r="C549" s="13"/>
      <c r="D549" s="13"/>
      <c r="E549" s="13"/>
    </row>
    <row r="550" ht="15.75" customHeight="1">
      <c r="A550" s="1"/>
    </row>
    <row r="551" ht="15.75" customHeight="1">
      <c r="A551" s="13"/>
      <c r="B551" s="13"/>
      <c r="C551" s="13"/>
      <c r="D551" s="13"/>
      <c r="E551" s="13"/>
    </row>
    <row r="552" ht="15.75" customHeight="1">
      <c r="A552" s="1"/>
    </row>
    <row r="553" ht="15.75" customHeight="1">
      <c r="A553" s="13"/>
      <c r="B553" s="13"/>
      <c r="C553" s="13"/>
      <c r="D553" s="13"/>
      <c r="E553" s="13"/>
    </row>
    <row r="554" ht="15.75" customHeight="1">
      <c r="A554" s="1"/>
    </row>
    <row r="555" ht="15.75" customHeight="1">
      <c r="A555" s="13"/>
      <c r="B555" s="13"/>
      <c r="C555" s="13"/>
      <c r="D555" s="13"/>
      <c r="E555" s="13"/>
    </row>
    <row r="556" ht="15.75" customHeight="1">
      <c r="A556" s="1"/>
    </row>
    <row r="557" ht="15.75" customHeight="1">
      <c r="A557" s="13"/>
      <c r="B557" s="13"/>
      <c r="C557" s="13"/>
      <c r="D557" s="13"/>
      <c r="E557" s="13"/>
    </row>
    <row r="558" ht="15.75" customHeight="1">
      <c r="A558" s="1"/>
    </row>
    <row r="559" ht="15.75" customHeight="1">
      <c r="A559" s="13"/>
      <c r="B559" s="13"/>
      <c r="C559" s="13"/>
      <c r="D559" s="13"/>
      <c r="E559" s="13"/>
    </row>
    <row r="560" ht="15.75" customHeight="1">
      <c r="A560" s="1"/>
    </row>
    <row r="561" ht="15.75" customHeight="1">
      <c r="A561" s="13"/>
      <c r="B561" s="13"/>
      <c r="C561" s="13"/>
      <c r="D561" s="13"/>
      <c r="E561" s="13"/>
    </row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